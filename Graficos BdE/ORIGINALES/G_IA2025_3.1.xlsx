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Z:\trc\PUBLICACIONES\TERMINADOS\InformeAnual\InformeAnual_2025\"/>
    </mc:Choice>
  </mc:AlternateContent>
  <xr:revisionPtr revIDLastSave="0" documentId="13_ncr:1_{97BBF557-8917-471C-809D-954BE43C7DDE}" xr6:coauthVersionLast="47" xr6:coauthVersionMax="47" xr10:uidLastSave="{00000000-0000-0000-0000-000000000000}"/>
  <bookViews>
    <workbookView xWindow="-15" yWindow="-15540" windowWidth="22155" windowHeight="15045" xr2:uid="{5FC99608-8527-423B-B891-639CF613FB59}"/>
  </bookViews>
  <sheets>
    <sheet name="Gráfico" sheetId="1" r:id="rId1"/>
    <sheet name="Datos" sheetId="2" r:id="rId2"/>
    <sheet name="Guía (para equipo edición)" sheetId="3" r:id="rId3"/>
  </sheets>
  <externalReferences>
    <externalReference r:id="rId4"/>
  </externalReferences>
  <definedNames>
    <definedName name="_Fil2" hidden="1">[1]D1!$V$6:$AJ$6</definedName>
    <definedName name="_Fill" hidden="1">[1]D1!$V$6:$AJ$6</definedName>
    <definedName name="_Order1" hidden="1">0</definedName>
    <definedName name="_Order2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2" l="1"/>
  <c r="Z6" i="2"/>
  <c r="Z7" i="2"/>
  <c r="Z8" i="2"/>
  <c r="AL16" i="2"/>
  <c r="AK7" i="2" a="1"/>
  <c r="AK7" i="2"/>
  <c r="AL13" i="2"/>
  <c r="AL14" i="2"/>
  <c r="AM16" i="2" s="1"/>
  <c r="AL6" i="2" a="1"/>
  <c r="AL6" i="2" s="1"/>
  <c r="AL7" i="2" a="1"/>
  <c r="AL7" i="2" s="1"/>
  <c r="AK6" i="2" a="1"/>
  <c r="AK6" i="2" s="1"/>
  <c r="O63" i="2"/>
  <c r="O64" i="2"/>
  <c r="O65" i="2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62" i="2"/>
  <c r="O60" i="2"/>
  <c r="O7" i="2"/>
  <c r="O8" i="2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" i="2"/>
  <c r="O108" i="2"/>
  <c r="O61" i="2"/>
  <c r="N63" i="2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62" i="2"/>
  <c r="N108" i="2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7" i="2"/>
  <c r="N8" i="2" s="1"/>
  <c r="N9" i="2" s="1"/>
  <c r="N61" i="2"/>
  <c r="O5" i="2"/>
  <c r="N5" i="2"/>
  <c r="N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<sst xmlns="http://schemas.openxmlformats.org/spreadsheetml/2006/main" count="240" uniqueCount="202">
  <si>
    <t>Formato trimestres</t>
  </si>
  <si>
    <t>I TR, II TR, III TR, IV TR</t>
  </si>
  <si>
    <t>Q1, Q2, Q3, Q4</t>
  </si>
  <si>
    <t>Formato fechas mes-año
(Código formato de eje)</t>
  </si>
  <si>
    <t>Formato líneas verticales</t>
  </si>
  <si>
    <t>color negro, tamaño 1 pto</t>
  </si>
  <si>
    <t>(Escala dcha.)</t>
  </si>
  <si>
    <t>(Right-hand scale)</t>
  </si>
  <si>
    <t>Formato guión líneas discontinuas</t>
  </si>
  <si>
    <t>Tipo de guión punto cuadrado (el 3º)</t>
  </si>
  <si>
    <t>Castellano</t>
  </si>
  <si>
    <t>Inglés</t>
  </si>
  <si>
    <t>Fuente Bde 55, tamaño 6 ptos.</t>
  </si>
  <si>
    <t>color gris eje, tamaño 0,5 ptos.</t>
  </si>
  <si>
    <t>Texto nº gráfico</t>
  </si>
  <si>
    <t>Texto título gráfico</t>
  </si>
  <si>
    <t>Color fondo cabecera</t>
  </si>
  <si>
    <t>Texto unidades</t>
  </si>
  <si>
    <t>Texto ejes</t>
  </si>
  <si>
    <t>Texto Leyendas</t>
  </si>
  <si>
    <t>Texto fuentes</t>
  </si>
  <si>
    <t>AB e informes no anuales (cobre), informes anuales (azul), DO y DT (naranja), NE (celeste), otros (gris)</t>
  </si>
  <si>
    <t>Fuente Bde 55, tamaño 7 ptos.</t>
  </si>
  <si>
    <t>Fuente Bde 65, tamaño 8,5 ptos.</t>
  </si>
  <si>
    <t>Fuente Bde 55, tamaño 8 ptos.</t>
  </si>
  <si>
    <t>Formato ejes</t>
  </si>
  <si>
    <t>Color gris, tamaño 0,5 ptos., plano ángulo</t>
  </si>
  <si>
    <t>Color gris+claro, tamaño 0,3 ptos., plano ángulo</t>
  </si>
  <si>
    <t>Tamaño 2,25 ptos., plano redondo</t>
  </si>
  <si>
    <t>Fuente Bde 45, tamaño 7 ptos.</t>
  </si>
  <si>
    <t>FORMATOS ESPECIALES</t>
  </si>
  <si>
    <t>FORMATOS GENERALES</t>
  </si>
  <si>
    <t>Texto en leyenda referido a eje derecho</t>
  </si>
  <si>
    <t>Texto etiquetas gráfico</t>
  </si>
  <si>
    <t>Formato lineas división</t>
  </si>
  <si>
    <t>Formato líneas de leyenda</t>
  </si>
  <si>
    <t>Formato líneas guía de las etiquetas</t>
  </si>
  <si>
    <t>Formato gráficos de tarta</t>
  </si>
  <si>
    <t>Tipo de gráfico circular, anillo, tamaño agujero al 80%</t>
  </si>
  <si>
    <t xml:space="preserve">Colores </t>
  </si>
  <si>
    <t>En orden de la paleta, líneas antes que barras, últimos los marcadores. En barras apiladas, inicio de colores desde el eje (de abajo a arriba)</t>
  </si>
  <si>
    <t>—</t>
  </si>
  <si>
    <t>Comillas españolas</t>
  </si>
  <si>
    <t>« »</t>
  </si>
  <si>
    <t>Guión negativo (en fuentes)</t>
  </si>
  <si>
    <t>–</t>
  </si>
  <si>
    <t>Formato guión largo (en fuentes)</t>
  </si>
  <si>
    <t>Texto títulos paneles</t>
  </si>
  <si>
    <t xml:space="preserve">[$-en-US,1]mmm-aa;@ </t>
  </si>
  <si>
    <t xml:space="preserve">[$-es-US,1]mmm-aa;@ </t>
  </si>
  <si>
    <t>2000-2013</t>
  </si>
  <si>
    <t>España</t>
  </si>
  <si>
    <t>period_label</t>
  </si>
  <si>
    <t>Calidad del trabajo</t>
  </si>
  <si>
    <t>Calidad del capital</t>
  </si>
  <si>
    <t>PTF</t>
  </si>
  <si>
    <t>Comercio</t>
  </si>
  <si>
    <t>Digital</t>
  </si>
  <si>
    <t>2014-2023</t>
  </si>
  <si>
    <t>Act. Profesionales</t>
  </si>
  <si>
    <t>Act. Administrativas</t>
  </si>
  <si>
    <t>Hostelería</t>
  </si>
  <si>
    <t>Otros servicios</t>
  </si>
  <si>
    <t>Transporte</t>
  </si>
  <si>
    <t>Manufacturas</t>
  </si>
  <si>
    <t>Construcción</t>
  </si>
  <si>
    <t>sector_let</t>
  </si>
  <si>
    <t>cum_share</t>
  </si>
  <si>
    <t>cum_tfp</t>
  </si>
  <si>
    <t>Peso en el valor añadido (%)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</si>
  <si>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</si>
  <si>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</si>
  <si>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</si>
  <si>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</si>
  <si>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</si>
  <si>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</si>
  <si>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</si>
  <si>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</si>
  <si>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</si>
  <si>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</si>
  <si>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</si>
  <si>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</si>
  <si>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</si>
  <si>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</si>
  <si>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</si>
  <si>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</si>
  <si>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</si>
  <si>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</si>
  <si>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</si>
  <si>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</si>
  <si>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</si>
  <si>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</si>
  <si>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</si>
  <si>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</si>
  <si>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</si>
  <si>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</si>
  <si>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</si>
  <si>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</si>
  <si>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</si>
  <si>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</si>
  <si>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</si>
  <si>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</si>
  <si>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</si>
  <si>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</si>
  <si>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</si>
  <si>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</si>
  <si>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</si>
  <si>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</si>
  <si>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</si>
  <si>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</si>
  <si>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</si>
  <si>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</si>
  <si>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</si>
  <si>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</si>
  <si>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</si>
  <si>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</si>
  <si>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</si>
  <si>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</si>
  <si>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</si>
  <si>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</si>
  <si>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</si>
  <si>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</si>
  <si>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</si>
  <si>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</si>
  <si>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</si>
  <si>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</si>
  <si>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</si>
  <si>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</si>
  <si>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</si>
  <si>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</si>
  <si>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</si>
  <si>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</si>
  <si>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</si>
  <si>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</si>
  <si>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</si>
  <si>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</si>
  <si>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</si>
  <si>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</si>
  <si>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</si>
  <si>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</si>
  <si>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</si>
  <si>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</si>
  <si>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</si>
  <si>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</si>
  <si>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</si>
  <si>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</si>
  <si>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</si>
  <si>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</si>
  <si>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</si>
  <si>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</si>
  <si>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</si>
  <si>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</si>
  <si>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</si>
  <si>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</si>
  <si>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</si>
  <si>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</si>
  <si>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</si>
  <si>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</si>
  <si>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</si>
  <si>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</si>
  <si>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</si>
  <si>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</si>
  <si>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</si>
  <si>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</si>
  <si>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</si>
  <si>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</si>
  <si>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</si>
  <si>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</si>
  <si>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</si>
  <si>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</si>
  <si>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quarter</t>
  </si>
  <si>
    <t>time</t>
  </si>
  <si>
    <t>Alemania</t>
  </si>
  <si>
    <t>Francia</t>
  </si>
  <si>
    <t>Italia</t>
  </si>
  <si>
    <t>Países Bajos</t>
  </si>
  <si>
    <t>Mínimo España exlc. COVID</t>
  </si>
  <si>
    <t>Contribución a PTF, media anual (pp.)</t>
  </si>
  <si>
    <t>5.1.c  Contribuciones sectoriales a la PTF: España (b)</t>
  </si>
  <si>
    <t>Resto UEM</t>
  </si>
  <si>
    <t>Tendencia España</t>
  </si>
  <si>
    <t>Tendencia UEM</t>
  </si>
  <si>
    <t>2025Q2</t>
  </si>
  <si>
    <t>2025Q3</t>
  </si>
  <si>
    <t>2025Q4</t>
  </si>
  <si>
    <t>2025Q1</t>
  </si>
  <si>
    <t>2013-2025</t>
  </si>
  <si>
    <t>Utilización de la capacidad</t>
  </si>
  <si>
    <t>2014-2025</t>
  </si>
  <si>
    <t>ES</t>
  </si>
  <si>
    <t>UEM</t>
  </si>
  <si>
    <t>crecimiento annual medio</t>
  </si>
  <si>
    <t>2000-2025</t>
  </si>
  <si>
    <t>años para cerrar el gap</t>
  </si>
  <si>
    <t xml:space="preserve">gap acumulado </t>
  </si>
  <si>
    <t>Productividad por hora</t>
  </si>
  <si>
    <t>Otros (b)</t>
  </si>
  <si>
    <t xml:space="preserve">Contribución media anual (% y pp) </t>
  </si>
  <si>
    <t>3.1.a  Productividad por hora y contribuciones (a)</t>
  </si>
  <si>
    <t>3.1.b  Evolución de la PTF (a)</t>
  </si>
  <si>
    <t>Índice I TR 2000 = 100</t>
  </si>
  <si>
    <t>Capital por hora (K/h)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</si>
</sst>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;@"/>
    <numFmt numFmtId="165" formatCode="[$-C0A]d\-mmm\-yy;@"/>
    <numFmt numFmtId="166" formatCode="yy"/>
    <numFmt numFmtId="167" formatCode="yyyy"/>
    <numFmt numFmtId="168" formatCode="_-* #,##0.00\ [$€-1]_-;\-* #,##0.00\ [$€-1]_-;_-* &quot;-&quot;??\ [$€-1]_-"/>
    <numFmt numFmtId="169" formatCode="[$-1540A]mmm\-yy;@"/>
    <numFmt numFmtId="170" formatCode="0.00000000"/>
  </numFmts>
  <fonts count="27" x14ac:knownFonts="1">
    <font>
      <sz val="12"/>
      <name val="Arial"/>
    </font>
    <font>
      <sz val="8"/>
      <name val="Helv"/>
    </font>
    <font>
      <sz val="8"/>
      <color indexed="12"/>
      <name val="Arial"/>
      <family val="2"/>
    </font>
    <font>
      <sz val="8"/>
      <color indexed="18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BdE Neue Helvetica 45 Light"/>
      <family val="2"/>
    </font>
    <font>
      <sz val="8"/>
      <color indexed="18"/>
      <name val="BdE Neue Helvetica 45 Light"/>
      <family val="2"/>
    </font>
    <font>
      <sz val="6"/>
      <color theme="1"/>
      <name val="BdE Neue Helvetica 55 Roman"/>
      <family val="2"/>
    </font>
    <font>
      <sz val="7"/>
      <color theme="1"/>
      <name val="BdE Neue Helvetica 45 Light"/>
      <family val="2"/>
    </font>
    <font>
      <sz val="8"/>
      <color theme="1"/>
      <name val="BdE Neue Helvetica 55 Roman"/>
      <family val="2"/>
    </font>
    <font>
      <sz val="7"/>
      <color theme="1"/>
      <name val="BdE Neue Helvetica 55 Roman"/>
      <family val="2"/>
    </font>
    <font>
      <sz val="10"/>
      <name val="BdE Neue Helvetica 55 Roman"/>
      <family val="2"/>
    </font>
    <font>
      <sz val="8"/>
      <name val="BdE Neue Helvetica 55 Roman"/>
      <family val="2"/>
    </font>
    <font>
      <sz val="6"/>
      <color indexed="62"/>
      <name val="BdE Neue Helvetica 55 Roman"/>
      <family val="2"/>
    </font>
    <font>
      <sz val="8"/>
      <color indexed="18"/>
      <name val="BdE Neue Helvetica 55 Roman"/>
      <family val="2"/>
    </font>
    <font>
      <sz val="12"/>
      <name val="BdE Neue Helvetica 55 Roman"/>
      <family val="2"/>
    </font>
    <font>
      <sz val="7"/>
      <name val="BdE Neue Helvetica 55 Roman"/>
      <family val="2"/>
    </font>
    <font>
      <sz val="7"/>
      <color indexed="18"/>
      <name val="BdE Neue Helvetica 55 Roman"/>
      <family val="2"/>
    </font>
    <font>
      <sz val="7"/>
      <color indexed="62"/>
      <name val="BdE Neue Helvetica 55 Roman"/>
      <family val="2"/>
    </font>
    <font>
      <sz val="12"/>
      <name val="Arial"/>
      <family val="2"/>
    </font>
    <font>
      <sz val="8"/>
      <name val="Roboto"/>
    </font>
    <font>
      <sz val="12"/>
      <name val="Roboto"/>
    </font>
    <font>
      <sz val="8"/>
      <color rgb="FFC00000"/>
      <name val="Roboto"/>
    </font>
    <font>
      <u/>
      <sz val="8"/>
      <name val="Roboto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rgb="FFF8EF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0"/>
    <xf numFmtId="168" fontId="6" fillId="0" borderId="0" applyFont="0" applyFill="0" applyBorder="0" applyAlignment="0" applyProtection="0"/>
    <xf numFmtId="0" fontId="1" fillId="0" borderId="0"/>
    <xf numFmtId="2" fontId="2" fillId="0" borderId="0">
      <alignment horizontal="left" vertical="center"/>
      <protection locked="0"/>
    </xf>
    <xf numFmtId="4" fontId="3" fillId="0" borderId="0">
      <alignment horizontal="right" vertical="center"/>
      <protection locked="0"/>
    </xf>
    <xf numFmtId="0" fontId="6" fillId="0" borderId="0"/>
    <xf numFmtId="0" fontId="21" fillId="0" borderId="0"/>
  </cellStyleXfs>
  <cellXfs count="70">
    <xf numFmtId="0" fontId="0" fillId="0" borderId="0" xfId="0"/>
    <xf numFmtId="0" fontId="7" fillId="0" borderId="0" xfId="0" applyFont="1" applyAlignment="1">
      <alignment vertical="center"/>
    </xf>
    <xf numFmtId="164" fontId="9" fillId="0" borderId="0" xfId="4" applyNumberFormat="1" applyFont="1" applyAlignment="1">
      <alignment horizontal="left" vertical="center"/>
      <protection locked="0"/>
    </xf>
    <xf numFmtId="164" fontId="11" fillId="0" borderId="0" xfId="4" applyNumberFormat="1" applyFont="1" applyAlignment="1">
      <alignment horizontal="left" vertical="center"/>
      <protection locked="0"/>
    </xf>
    <xf numFmtId="16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2" fillId="2" borderId="0" xfId="5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>
      <alignment vertical="center"/>
    </xf>
    <xf numFmtId="167" fontId="8" fillId="2" borderId="0" xfId="0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2" fillId="2" borderId="0" xfId="5" applyFont="1" applyFill="1" applyAlignment="1" applyProtection="1">
      <alignment horizontal="right" vertical="center"/>
      <protection locked="0"/>
    </xf>
    <xf numFmtId="165" fontId="14" fillId="0" borderId="0" xfId="0" applyNumberFormat="1" applyFont="1" applyAlignment="1">
      <alignment vertical="center"/>
    </xf>
    <xf numFmtId="164" fontId="15" fillId="0" borderId="0" xfId="4" applyNumberFormat="1" applyFont="1" applyAlignment="1">
      <alignment horizontal="left" vertical="center"/>
      <protection locked="0"/>
    </xf>
    <xf numFmtId="0" fontId="14" fillId="3" borderId="0" xfId="0" applyFont="1" applyFill="1" applyAlignment="1">
      <alignment vertical="center"/>
    </xf>
    <xf numFmtId="165" fontId="14" fillId="3" borderId="0" xfId="0" applyNumberFormat="1" applyFont="1" applyFill="1" applyAlignment="1">
      <alignment vertical="center"/>
    </xf>
    <xf numFmtId="166" fontId="14" fillId="0" borderId="0" xfId="0" applyNumberFormat="1" applyFont="1" applyAlignment="1">
      <alignment vertical="center"/>
    </xf>
    <xf numFmtId="0" fontId="12" fillId="2" borderId="0" xfId="0" applyFont="1" applyFill="1" applyAlignment="1">
      <alignment vertical="center"/>
    </xf>
    <xf numFmtId="167" fontId="16" fillId="2" borderId="0" xfId="0" applyNumberFormat="1" applyFont="1" applyFill="1" applyAlignment="1">
      <alignment vertical="center"/>
    </xf>
    <xf numFmtId="166" fontId="16" fillId="2" borderId="0" xfId="0" applyNumberFormat="1" applyFont="1" applyFill="1" applyAlignment="1">
      <alignment vertical="center"/>
    </xf>
    <xf numFmtId="166" fontId="11" fillId="0" borderId="0" xfId="0" applyNumberFormat="1" applyFont="1" applyAlignment="1">
      <alignment vertical="center"/>
    </xf>
    <xf numFmtId="0" fontId="17" fillId="0" borderId="0" xfId="0" applyFont="1"/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165" fontId="18" fillId="3" borderId="0" xfId="0" applyNumberFormat="1" applyFont="1" applyFill="1" applyAlignment="1">
      <alignment vertical="center"/>
    </xf>
    <xf numFmtId="166" fontId="12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169" fontId="12" fillId="2" borderId="0" xfId="0" applyNumberFormat="1" applyFont="1" applyFill="1" applyAlignment="1">
      <alignment horizontal="right" vertical="center"/>
    </xf>
    <xf numFmtId="169" fontId="12" fillId="2" borderId="0" xfId="0" applyNumberFormat="1" applyFont="1" applyFill="1" applyAlignment="1">
      <alignment vertical="center"/>
    </xf>
    <xf numFmtId="167" fontId="19" fillId="2" borderId="0" xfId="0" applyNumberFormat="1" applyFont="1" applyFill="1" applyAlignment="1">
      <alignment vertical="center"/>
    </xf>
    <xf numFmtId="166" fontId="19" fillId="2" borderId="0" xfId="0" applyNumberFormat="1" applyFont="1" applyFill="1" applyAlignment="1">
      <alignment vertical="center"/>
    </xf>
    <xf numFmtId="164" fontId="20" fillId="0" borderId="0" xfId="4" applyNumberFormat="1" applyFont="1" applyAlignment="1">
      <alignment horizontal="left" vertical="center"/>
      <protection locked="0"/>
    </xf>
    <xf numFmtId="0" fontId="13" fillId="0" borderId="0" xfId="0" applyFont="1" applyAlignment="1">
      <alignment vertical="center" wrapText="1"/>
    </xf>
    <xf numFmtId="0" fontId="13" fillId="0" borderId="10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0" xfId="6" applyFont="1" applyAlignment="1">
      <alignment horizontal="left" vertical="center"/>
    </xf>
    <xf numFmtId="0" fontId="13" fillId="0" borderId="7" xfId="6" applyFont="1" applyBorder="1" applyAlignment="1">
      <alignment horizontal="left" vertical="center"/>
    </xf>
    <xf numFmtId="0" fontId="13" fillId="0" borderId="7" xfId="6" applyFont="1" applyBorder="1" applyAlignment="1">
      <alignment horizontal="left" vertical="center" wrapText="1"/>
    </xf>
    <xf numFmtId="0" fontId="13" fillId="0" borderId="0" xfId="6" applyFont="1" applyAlignment="1">
      <alignment vertical="center"/>
    </xf>
    <xf numFmtId="170" fontId="10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6" fillId="0" borderId="0" xfId="0" applyFont="1"/>
    <xf numFmtId="0" fontId="13" fillId="3" borderId="0" xfId="0" applyFont="1" applyFill="1" applyAlignment="1">
      <alignment vertical="center"/>
    </xf>
    <xf numFmtId="2" fontId="8" fillId="0" borderId="0" xfId="0" applyNumberFormat="1" applyFont="1" applyAlignment="1">
      <alignment vertical="center"/>
    </xf>
    <xf numFmtId="168" fontId="22" fillId="6" borderId="0" xfId="1" applyFont="1" applyFill="1"/>
    <xf numFmtId="0" fontId="22" fillId="6" borderId="0" xfId="0" applyFont="1" applyFill="1"/>
    <xf numFmtId="0" fontId="23" fillId="6" borderId="0" xfId="0" applyFont="1" applyFill="1"/>
    <xf numFmtId="0" fontId="24" fillId="6" borderId="0" xfId="0" applyFont="1" applyFill="1"/>
    <xf numFmtId="0" fontId="25" fillId="6" borderId="0" xfId="0" applyFont="1" applyFill="1"/>
    <xf numFmtId="169" fontId="12" fillId="2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</cellXfs>
  <cellStyles count="7">
    <cellStyle name="Euro" xfId="1" xr:uid="{00000000-0005-0000-0000-000000000000}"/>
    <cellStyle name="grafic - Estilo1" xfId="2" xr:uid="{00000000-0005-0000-0000-000001000000}"/>
    <cellStyle name="graficos" xfId="3" xr:uid="{00000000-0005-0000-0000-000002000000}"/>
    <cellStyle name="graficos_GTrim" xfId="4" xr:uid="{00000000-0005-0000-0000-000003000000}"/>
    <cellStyle name="Normal" xfId="0" builtinId="0"/>
    <cellStyle name="Normal 2" xfId="6" xr:uid="{00000000-0005-0000-0000-000005000000}"/>
    <cellStyle name="Normal_G_Cap2_1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7EC31C"/>
      <rgbColor rgb="00EFD3DB"/>
      <rgbColor rgb="00FF6600"/>
      <rgbColor rgb="00DABFDE"/>
      <rgbColor rgb="00BFE7F1"/>
      <rgbColor rgb="00FCC0DF"/>
      <rgbColor rgb="00FFFFFF"/>
      <rgbColor rgb="006699FF"/>
      <rgbColor rgb="00CC0066"/>
      <rgbColor rgb="00CC66FF"/>
      <rgbColor rgb="00DDDDDD"/>
      <rgbColor rgb="00CEFFFF"/>
      <rgbColor rgb="00D7D7D7"/>
      <rgbColor rgb="0099CCFF"/>
      <rgbColor rgb="0067C6DD"/>
      <rgbColor rgb="00FF7373"/>
      <rgbColor rgb="009F5AAA"/>
      <rgbColor rgb="00CB6E8A"/>
      <rgbColor rgb="00F667B2"/>
      <rgbColor rgb="007AC176"/>
      <rgbColor rgb="007A87B3"/>
      <rgbColor rgb="00949494"/>
      <rgbColor rgb="0000A0C6"/>
      <rgbColor rgb="00FF0000"/>
      <rgbColor rgb="006B017C"/>
      <rgbColor rgb="00B7365C"/>
      <rgbColor rgb="00F0027E"/>
      <rgbColor rgb="0033A02C"/>
      <rgbColor rgb="00314D8E"/>
      <rgbColor rgb="00777777"/>
      <rgbColor rgb="00DAEED9"/>
      <rgbColor rgb="00F99ACC"/>
      <rgbColor rgb="00DB9AAD"/>
      <rgbColor rgb="00C194C8"/>
      <rgbColor rgb="00A7D6A4"/>
      <rgbColor rgb="0099D9E8"/>
      <rgbColor rgb="00A2A9CA"/>
      <rgbColor rgb="00FF9999"/>
      <rgbColor rgb="00FFE5D0"/>
      <rgbColor rgb="00FFD0A8"/>
      <rgbColor rgb="00FED914"/>
      <rgbColor rgb="00FFBFBF"/>
      <rgbColor rgb="00FFFF00"/>
      <rgbColor rgb="00990099"/>
      <rgbColor rgb="00666699"/>
      <rgbColor rgb="00FF99CC"/>
      <rgbColor rgb="0035CCCC"/>
      <rgbColor rgb="00FEB06D"/>
      <rgbColor rgb="00CDCDCD"/>
      <rgbColor rgb="00E6E6E6"/>
      <rgbColor rgb="00F2F2F2"/>
      <rgbColor rgb="00C3C7D5"/>
      <rgbColor rgb="00336600"/>
      <rgbColor rgb="00CCFFCC"/>
    </indexedColors>
    <mruColors>
      <color rgb="FFB3D9FF"/>
      <color rgb="FF7DB749"/>
      <color rgb="FF7F7F7F"/>
      <color rgb="FF1D5191"/>
      <color rgb="FFAECEF4"/>
      <color rgb="FFFFE9BE"/>
      <color rgb="FFFFDB93"/>
      <color rgb="FFEF9011"/>
      <color rgb="FFF8EFEE"/>
      <color rgb="FF6464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8634414593059373E-2"/>
          <c:y val="0.10809773951883275"/>
          <c:w val="0.62906601032134535"/>
          <c:h val="0.6044479083070522"/>
        </c:manualLayout>
      </c:layout>
      <c:lineChart>
        <c:grouping val="standard"/>
        <c:varyColors val="0"/>
        <c:ser>
          <c:idx val="0"/>
          <c:order val="0"/>
          <c:tx>
            <c:strRef>
              <c:f>Datos!$H$4</c:f>
              <c:strCache>
                <c:ptCount val="1"/>
                <c:pt idx="0">
                  <c:v>Resto UEM</c:v>
                </c:pt>
              </c:strCache>
            </c:strRef>
          </c:tx>
          <c:spPr>
            <a:ln w="22225" cap="flat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cat>
            <c:numRef>
              <c:f>Datos!$C$5:$C$108</c:f>
              <c:numCache>
                <c:formatCode>General</c:formatCode>
                <c:ptCount val="10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2002</c:v>
                </c:pt>
                <c:pt idx="9">
                  <c:v>2002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2004</c:v>
                </c:pt>
                <c:pt idx="17">
                  <c:v>2004</c:v>
                </c:pt>
                <c:pt idx="18">
                  <c:v>2004</c:v>
                </c:pt>
                <c:pt idx="19">
                  <c:v>2004</c:v>
                </c:pt>
                <c:pt idx="20">
                  <c:v>2005</c:v>
                </c:pt>
                <c:pt idx="21">
                  <c:v>2005</c:v>
                </c:pt>
                <c:pt idx="22">
                  <c:v>2005</c:v>
                </c:pt>
                <c:pt idx="23">
                  <c:v>2005</c:v>
                </c:pt>
                <c:pt idx="24">
                  <c:v>2006</c:v>
                </c:pt>
                <c:pt idx="25">
                  <c:v>2006</c:v>
                </c:pt>
                <c:pt idx="26">
                  <c:v>2006</c:v>
                </c:pt>
                <c:pt idx="27">
                  <c:v>2006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  <c:pt idx="32">
                  <c:v>2008</c:v>
                </c:pt>
                <c:pt idx="33">
                  <c:v>2008</c:v>
                </c:pt>
                <c:pt idx="34">
                  <c:v>2008</c:v>
                </c:pt>
                <c:pt idx="35">
                  <c:v>2008</c:v>
                </c:pt>
                <c:pt idx="36">
                  <c:v>2009</c:v>
                </c:pt>
                <c:pt idx="37">
                  <c:v>2009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2010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2019</c:v>
                </c:pt>
                <c:pt idx="77">
                  <c:v>2019</c:v>
                </c:pt>
                <c:pt idx="78">
                  <c:v>2019</c:v>
                </c:pt>
                <c:pt idx="79">
                  <c:v>2019</c:v>
                </c:pt>
                <c:pt idx="80">
                  <c:v>2020</c:v>
                </c:pt>
                <c:pt idx="81">
                  <c:v>2020</c:v>
                </c:pt>
                <c:pt idx="82">
                  <c:v>2020</c:v>
                </c:pt>
                <c:pt idx="83">
                  <c:v>2020</c:v>
                </c:pt>
                <c:pt idx="84">
                  <c:v>2021</c:v>
                </c:pt>
                <c:pt idx="85">
                  <c:v>2021</c:v>
                </c:pt>
                <c:pt idx="86">
                  <c:v>2021</c:v>
                </c:pt>
                <c:pt idx="87">
                  <c:v>2021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2024</c:v>
                </c:pt>
                <c:pt idx="97">
                  <c:v>2024</c:v>
                </c:pt>
                <c:pt idx="98">
                  <c:v>2024</c:v>
                </c:pt>
                <c:pt idx="99">
                  <c:v>2024</c:v>
                </c:pt>
                <c:pt idx="100">
                  <c:v>2025</c:v>
                </c:pt>
                <c:pt idx="101">
                  <c:v>2025</c:v>
                </c:pt>
                <c:pt idx="102">
                  <c:v>2025</c:v>
                </c:pt>
                <c:pt idx="103">
                  <c:v>2025</c:v>
                </c:pt>
              </c:numCache>
            </c:numRef>
          </c:cat>
          <c:val>
            <c:numRef>
              <c:f>Datos!$H$5:$H$108</c:f>
              <c:numCache>
                <c:formatCode>General</c:formatCode>
                <c:ptCount val="104"/>
                <c:pt idx="0">
                  <c:v>100</c:v>
                </c:pt>
                <c:pt idx="1">
                  <c:v>100.295171686274</c:v>
                </c:pt>
                <c:pt idx="2">
                  <c:v>100.373322266088</c:v>
                </c:pt>
                <c:pt idx="3">
                  <c:v>100.38326686417599</c:v>
                </c:pt>
                <c:pt idx="4">
                  <c:v>101.51002231918299</c:v>
                </c:pt>
                <c:pt idx="5">
                  <c:v>101.86384363857</c:v>
                </c:pt>
                <c:pt idx="6">
                  <c:v>102.05064467354499</c:v>
                </c:pt>
                <c:pt idx="7">
                  <c:v>101.930081970892</c:v>
                </c:pt>
                <c:pt idx="8">
                  <c:v>102.120234446834</c:v>
                </c:pt>
                <c:pt idx="9">
                  <c:v>102.344898139408</c:v>
                </c:pt>
                <c:pt idx="10">
                  <c:v>102.489522594966</c:v>
                </c:pt>
                <c:pt idx="11">
                  <c:v>102.85759057605701</c:v>
                </c:pt>
                <c:pt idx="12">
                  <c:v>101.963687772301</c:v>
                </c:pt>
                <c:pt idx="13">
                  <c:v>101.731439394304</c:v>
                </c:pt>
                <c:pt idx="14">
                  <c:v>102.15943398856299</c:v>
                </c:pt>
                <c:pt idx="15">
                  <c:v>102.60718007932699</c:v>
                </c:pt>
                <c:pt idx="16">
                  <c:v>102.74316351902</c:v>
                </c:pt>
                <c:pt idx="17">
                  <c:v>103.53331663564499</c:v>
                </c:pt>
                <c:pt idx="18">
                  <c:v>103.050675580663</c:v>
                </c:pt>
                <c:pt idx="19">
                  <c:v>103.24999696723199</c:v>
                </c:pt>
                <c:pt idx="20">
                  <c:v>103.831076250534</c:v>
                </c:pt>
                <c:pt idx="21">
                  <c:v>104.001673605044</c:v>
                </c:pt>
                <c:pt idx="22">
                  <c:v>104.571881613703</c:v>
                </c:pt>
                <c:pt idx="23">
                  <c:v>104.596802154637</c:v>
                </c:pt>
                <c:pt idx="24">
                  <c:v>105.12257539709999</c:v>
                </c:pt>
                <c:pt idx="25">
                  <c:v>105.641154535216</c:v>
                </c:pt>
                <c:pt idx="26">
                  <c:v>105.156660283576</c:v>
                </c:pt>
                <c:pt idx="27">
                  <c:v>105.62550184149001</c:v>
                </c:pt>
                <c:pt idx="28">
                  <c:v>105.907601067439</c:v>
                </c:pt>
                <c:pt idx="29">
                  <c:v>105.782377981254</c:v>
                </c:pt>
                <c:pt idx="30">
                  <c:v>105.81748679448501</c:v>
                </c:pt>
                <c:pt idx="31">
                  <c:v>106.030059031199</c:v>
                </c:pt>
                <c:pt idx="32">
                  <c:v>106.523689004052</c:v>
                </c:pt>
                <c:pt idx="33">
                  <c:v>105.91410288697899</c:v>
                </c:pt>
                <c:pt idx="34">
                  <c:v>105.00652548242201</c:v>
                </c:pt>
                <c:pt idx="35">
                  <c:v>103.321108676088</c:v>
                </c:pt>
                <c:pt idx="36">
                  <c:v>101.88201730172</c:v>
                </c:pt>
                <c:pt idx="37">
                  <c:v>104.32701820756</c:v>
                </c:pt>
                <c:pt idx="38">
                  <c:v>104.68190238955199</c:v>
                </c:pt>
                <c:pt idx="39">
                  <c:v>104.68650295939599</c:v>
                </c:pt>
                <c:pt idx="40">
                  <c:v>105.133454924652</c:v>
                </c:pt>
                <c:pt idx="41">
                  <c:v>105.19409469016099</c:v>
                </c:pt>
                <c:pt idx="42">
                  <c:v>104.34489423567901</c:v>
                </c:pt>
                <c:pt idx="43">
                  <c:v>104.536789774266</c:v>
                </c:pt>
                <c:pt idx="44">
                  <c:v>104.863749269184</c:v>
                </c:pt>
                <c:pt idx="45">
                  <c:v>104.479525805637</c:v>
                </c:pt>
                <c:pt idx="46">
                  <c:v>104.309575794645</c:v>
                </c:pt>
                <c:pt idx="47">
                  <c:v>103.95325519324901</c:v>
                </c:pt>
                <c:pt idx="48">
                  <c:v>104.809108827627</c:v>
                </c:pt>
                <c:pt idx="49">
                  <c:v>104.69415436722301</c:v>
                </c:pt>
                <c:pt idx="50">
                  <c:v>104.869632007387</c:v>
                </c:pt>
                <c:pt idx="51">
                  <c:v>105.093608361417</c:v>
                </c:pt>
                <c:pt idx="52">
                  <c:v>105.457477659162</c:v>
                </c:pt>
                <c:pt idx="53">
                  <c:v>106.181414066722</c:v>
                </c:pt>
                <c:pt idx="54">
                  <c:v>105.29794144346801</c:v>
                </c:pt>
                <c:pt idx="55">
                  <c:v>105.50271048679799</c:v>
                </c:pt>
                <c:pt idx="56">
                  <c:v>105.8972704941</c:v>
                </c:pt>
                <c:pt idx="57">
                  <c:v>105.67152274221</c:v>
                </c:pt>
                <c:pt idx="58">
                  <c:v>106.034051819447</c:v>
                </c:pt>
                <c:pt idx="59">
                  <c:v>106.408651437419</c:v>
                </c:pt>
                <c:pt idx="60">
                  <c:v>106.43080347196</c:v>
                </c:pt>
                <c:pt idx="61">
                  <c:v>105.902476332784</c:v>
                </c:pt>
                <c:pt idx="62">
                  <c:v>106.129922021049</c:v>
                </c:pt>
                <c:pt idx="63">
                  <c:v>105.991901550253</c:v>
                </c:pt>
                <c:pt idx="64">
                  <c:v>106.32603037764299</c:v>
                </c:pt>
                <c:pt idx="65">
                  <c:v>106.352986481576</c:v>
                </c:pt>
                <c:pt idx="66">
                  <c:v>106.535715590195</c:v>
                </c:pt>
                <c:pt idx="67">
                  <c:v>106.60447212075699</c:v>
                </c:pt>
                <c:pt idx="68">
                  <c:v>107.411297949652</c:v>
                </c:pt>
                <c:pt idx="69">
                  <c:v>107.408778903266</c:v>
                </c:pt>
                <c:pt idx="70">
                  <c:v>107.55996741872799</c:v>
                </c:pt>
                <c:pt idx="71">
                  <c:v>107.765056906003</c:v>
                </c:pt>
                <c:pt idx="72">
                  <c:v>107.67358458567099</c:v>
                </c:pt>
                <c:pt idx="73">
                  <c:v>107.312866950398</c:v>
                </c:pt>
                <c:pt idx="74">
                  <c:v>106.931423893586</c:v>
                </c:pt>
                <c:pt idx="75">
                  <c:v>107.276031628997</c:v>
                </c:pt>
                <c:pt idx="76">
                  <c:v>107.66232125809</c:v>
                </c:pt>
                <c:pt idx="77">
                  <c:v>108.21058519309599</c:v>
                </c:pt>
                <c:pt idx="78">
                  <c:v>107.9820488015</c:v>
                </c:pt>
                <c:pt idx="79">
                  <c:v>107.933910974938</c:v>
                </c:pt>
                <c:pt idx="80">
                  <c:v>106.98222746393</c:v>
                </c:pt>
                <c:pt idx="81">
                  <c:v>109.5374694189</c:v>
                </c:pt>
                <c:pt idx="82">
                  <c:v>110.59079590923101</c:v>
                </c:pt>
                <c:pt idx="83">
                  <c:v>108.99104577462499</c:v>
                </c:pt>
                <c:pt idx="84">
                  <c:v>108.548811782793</c:v>
                </c:pt>
                <c:pt idx="85">
                  <c:v>108.37378580553001</c:v>
                </c:pt>
                <c:pt idx="86">
                  <c:v>107.864544074541</c:v>
                </c:pt>
                <c:pt idx="87">
                  <c:v>107.582007434956</c:v>
                </c:pt>
                <c:pt idx="88">
                  <c:v>107.39188996550401</c:v>
                </c:pt>
                <c:pt idx="89">
                  <c:v>107.026062224873</c:v>
                </c:pt>
                <c:pt idx="90">
                  <c:v>106.620745735244</c:v>
                </c:pt>
                <c:pt idx="91">
                  <c:v>106.53014617577</c:v>
                </c:pt>
                <c:pt idx="92">
                  <c:v>105.769373773447</c:v>
                </c:pt>
                <c:pt idx="93">
                  <c:v>105.49577346580099</c:v>
                </c:pt>
                <c:pt idx="94">
                  <c:v>105.49149211147</c:v>
                </c:pt>
                <c:pt idx="95">
                  <c:v>106.64649332606101</c:v>
                </c:pt>
                <c:pt idx="96">
                  <c:v>106.15431572444599</c:v>
                </c:pt>
                <c:pt idx="97">
                  <c:v>106.151093423113</c:v>
                </c:pt>
                <c:pt idx="98">
                  <c:v>106.459598421658</c:v>
                </c:pt>
                <c:pt idx="99">
                  <c:v>106.559941673335</c:v>
                </c:pt>
                <c:pt idx="100">
                  <c:v>106.581864563435</c:v>
                </c:pt>
                <c:pt idx="101">
                  <c:v>106.65054301676101</c:v>
                </c:pt>
                <c:pt idx="102">
                  <c:v>106.857448860419</c:v>
                </c:pt>
                <c:pt idx="103">
                  <c:v>106.948195960549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B-4F47-9C1D-43ECBCC8BCFE}"/>
            </c:ext>
          </c:extLst>
        </c:ser>
        <c:ser>
          <c:idx val="1"/>
          <c:order val="1"/>
          <c:tx>
            <c:strRef>
              <c:f>Datos!$G$4</c:f>
              <c:strCache>
                <c:ptCount val="1"/>
                <c:pt idx="0">
                  <c:v>España</c:v>
                </c:pt>
              </c:strCache>
            </c:strRef>
          </c:tx>
          <c:spPr>
            <a:ln w="22225" cap="flat">
              <a:solidFill>
                <a:srgbClr val="7DB749"/>
              </a:solidFill>
              <a:prstDash val="sysDash"/>
              <a:round/>
            </a:ln>
          </c:spPr>
          <c:marker>
            <c:symbol val="none"/>
          </c:marker>
          <c:cat>
            <c:numRef>
              <c:f>Datos!$C$5:$C$108</c:f>
              <c:numCache>
                <c:formatCode>General</c:formatCode>
                <c:ptCount val="10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2002</c:v>
                </c:pt>
                <c:pt idx="9">
                  <c:v>2002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2004</c:v>
                </c:pt>
                <c:pt idx="17">
                  <c:v>2004</c:v>
                </c:pt>
                <c:pt idx="18">
                  <c:v>2004</c:v>
                </c:pt>
                <c:pt idx="19">
                  <c:v>2004</c:v>
                </c:pt>
                <c:pt idx="20">
                  <c:v>2005</c:v>
                </c:pt>
                <c:pt idx="21">
                  <c:v>2005</c:v>
                </c:pt>
                <c:pt idx="22">
                  <c:v>2005</c:v>
                </c:pt>
                <c:pt idx="23">
                  <c:v>2005</c:v>
                </c:pt>
                <c:pt idx="24">
                  <c:v>2006</c:v>
                </c:pt>
                <c:pt idx="25">
                  <c:v>2006</c:v>
                </c:pt>
                <c:pt idx="26">
                  <c:v>2006</c:v>
                </c:pt>
                <c:pt idx="27">
                  <c:v>2006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  <c:pt idx="32">
                  <c:v>2008</c:v>
                </c:pt>
                <c:pt idx="33">
                  <c:v>2008</c:v>
                </c:pt>
                <c:pt idx="34">
                  <c:v>2008</c:v>
                </c:pt>
                <c:pt idx="35">
                  <c:v>2008</c:v>
                </c:pt>
                <c:pt idx="36">
                  <c:v>2009</c:v>
                </c:pt>
                <c:pt idx="37">
                  <c:v>2009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2010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2019</c:v>
                </c:pt>
                <c:pt idx="77">
                  <c:v>2019</c:v>
                </c:pt>
                <c:pt idx="78">
                  <c:v>2019</c:v>
                </c:pt>
                <c:pt idx="79">
                  <c:v>2019</c:v>
                </c:pt>
                <c:pt idx="80">
                  <c:v>2020</c:v>
                </c:pt>
                <c:pt idx="81">
                  <c:v>2020</c:v>
                </c:pt>
                <c:pt idx="82">
                  <c:v>2020</c:v>
                </c:pt>
                <c:pt idx="83">
                  <c:v>2020</c:v>
                </c:pt>
                <c:pt idx="84">
                  <c:v>2021</c:v>
                </c:pt>
                <c:pt idx="85">
                  <c:v>2021</c:v>
                </c:pt>
                <c:pt idx="86">
                  <c:v>2021</c:v>
                </c:pt>
                <c:pt idx="87">
                  <c:v>2021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2024</c:v>
                </c:pt>
                <c:pt idx="97">
                  <c:v>2024</c:v>
                </c:pt>
                <c:pt idx="98">
                  <c:v>2024</c:v>
                </c:pt>
                <c:pt idx="99">
                  <c:v>2024</c:v>
                </c:pt>
                <c:pt idx="100">
                  <c:v>2025</c:v>
                </c:pt>
                <c:pt idx="101">
                  <c:v>2025</c:v>
                </c:pt>
                <c:pt idx="102">
                  <c:v>2025</c:v>
                </c:pt>
                <c:pt idx="103">
                  <c:v>2025</c:v>
                </c:pt>
              </c:numCache>
            </c:numRef>
          </c:cat>
          <c:val>
            <c:numRef>
              <c:f>Datos!$G$5:$G$108</c:f>
              <c:numCache>
                <c:formatCode>General</c:formatCode>
                <c:ptCount val="104"/>
                <c:pt idx="0">
                  <c:v>100</c:v>
                </c:pt>
                <c:pt idx="1">
                  <c:v>99.790220774828896</c:v>
                </c:pt>
                <c:pt idx="2">
                  <c:v>99.980045461182897</c:v>
                </c:pt>
                <c:pt idx="3">
                  <c:v>99.815027505371901</c:v>
                </c:pt>
                <c:pt idx="4">
                  <c:v>100.0514955344</c:v>
                </c:pt>
                <c:pt idx="5">
                  <c:v>99.651184888322902</c:v>
                </c:pt>
                <c:pt idx="6">
                  <c:v>100.067842922907</c:v>
                </c:pt>
                <c:pt idx="7">
                  <c:v>100.43324291524701</c:v>
                </c:pt>
                <c:pt idx="8">
                  <c:v>99.514561499752602</c:v>
                </c:pt>
                <c:pt idx="9">
                  <c:v>99.650329416467997</c:v>
                </c:pt>
                <c:pt idx="10">
                  <c:v>99.039392891791493</c:v>
                </c:pt>
                <c:pt idx="11">
                  <c:v>97.848763295951898</c:v>
                </c:pt>
                <c:pt idx="12">
                  <c:v>98.710797773327002</c:v>
                </c:pt>
                <c:pt idx="13">
                  <c:v>98.598908778097197</c:v>
                </c:pt>
                <c:pt idx="14">
                  <c:v>97.638439301841103</c:v>
                </c:pt>
                <c:pt idx="15">
                  <c:v>96.301297591922406</c:v>
                </c:pt>
                <c:pt idx="16">
                  <c:v>96.625733780814997</c:v>
                </c:pt>
                <c:pt idx="17">
                  <c:v>96.535559039695102</c:v>
                </c:pt>
                <c:pt idx="18">
                  <c:v>96.550457846357503</c:v>
                </c:pt>
                <c:pt idx="19">
                  <c:v>96.403970046944494</c:v>
                </c:pt>
                <c:pt idx="20">
                  <c:v>97.056607991932594</c:v>
                </c:pt>
                <c:pt idx="21">
                  <c:v>95.933237691966397</c:v>
                </c:pt>
                <c:pt idx="22">
                  <c:v>96.004074386003595</c:v>
                </c:pt>
                <c:pt idx="23">
                  <c:v>96.011351723413796</c:v>
                </c:pt>
                <c:pt idx="24">
                  <c:v>95.740386285994902</c:v>
                </c:pt>
                <c:pt idx="25">
                  <c:v>96.061615700464799</c:v>
                </c:pt>
                <c:pt idx="26">
                  <c:v>95.870983344321999</c:v>
                </c:pt>
                <c:pt idx="27">
                  <c:v>96.149765573249994</c:v>
                </c:pt>
                <c:pt idx="28">
                  <c:v>95.621250000441805</c:v>
                </c:pt>
                <c:pt idx="29">
                  <c:v>95.428276680206395</c:v>
                </c:pt>
                <c:pt idx="30">
                  <c:v>94.792502861675402</c:v>
                </c:pt>
                <c:pt idx="31">
                  <c:v>95.219742423556099</c:v>
                </c:pt>
                <c:pt idx="32">
                  <c:v>94.476675893713505</c:v>
                </c:pt>
                <c:pt idx="33">
                  <c:v>94.327321022115598</c:v>
                </c:pt>
                <c:pt idx="34">
                  <c:v>94.811245040411393</c:v>
                </c:pt>
                <c:pt idx="35">
                  <c:v>94.109562015469095</c:v>
                </c:pt>
                <c:pt idx="36">
                  <c:v>94.665522030803601</c:v>
                </c:pt>
                <c:pt idx="37">
                  <c:v>95.991234998068407</c:v>
                </c:pt>
                <c:pt idx="38">
                  <c:v>96.573513282173494</c:v>
                </c:pt>
                <c:pt idx="39">
                  <c:v>96.165495721155395</c:v>
                </c:pt>
                <c:pt idx="40">
                  <c:v>97.102930891097103</c:v>
                </c:pt>
                <c:pt idx="41">
                  <c:v>95.298381956580599</c:v>
                </c:pt>
                <c:pt idx="42">
                  <c:v>95.059761875970494</c:v>
                </c:pt>
                <c:pt idx="43">
                  <c:v>96.045566432553102</c:v>
                </c:pt>
                <c:pt idx="44">
                  <c:v>95.142451141657105</c:v>
                </c:pt>
                <c:pt idx="45">
                  <c:v>95.266903706474295</c:v>
                </c:pt>
                <c:pt idx="46">
                  <c:v>95.744855924943494</c:v>
                </c:pt>
                <c:pt idx="47">
                  <c:v>95.324390108069593</c:v>
                </c:pt>
                <c:pt idx="48">
                  <c:v>95.893623629833499</c:v>
                </c:pt>
                <c:pt idx="49">
                  <c:v>94.935532017298399</c:v>
                </c:pt>
                <c:pt idx="50">
                  <c:v>95.197046199148204</c:v>
                </c:pt>
                <c:pt idx="51">
                  <c:v>93.987412901067103</c:v>
                </c:pt>
                <c:pt idx="52">
                  <c:v>94.016999420276093</c:v>
                </c:pt>
                <c:pt idx="53">
                  <c:v>93.551879419293599</c:v>
                </c:pt>
                <c:pt idx="54">
                  <c:v>93.325888786310898</c:v>
                </c:pt>
                <c:pt idx="55">
                  <c:v>92.652394976448704</c:v>
                </c:pt>
                <c:pt idx="56">
                  <c:v>92.663095783173503</c:v>
                </c:pt>
                <c:pt idx="57">
                  <c:v>93.079688353044304</c:v>
                </c:pt>
                <c:pt idx="58">
                  <c:v>93.310742005951397</c:v>
                </c:pt>
                <c:pt idx="59">
                  <c:v>93.649039490817501</c:v>
                </c:pt>
                <c:pt idx="60">
                  <c:v>94.437359536895897</c:v>
                </c:pt>
                <c:pt idx="61">
                  <c:v>93.672327348585497</c:v>
                </c:pt>
                <c:pt idx="62">
                  <c:v>94.140589214039807</c:v>
                </c:pt>
                <c:pt idx="63">
                  <c:v>94.154090367147205</c:v>
                </c:pt>
                <c:pt idx="64">
                  <c:v>94.447876970014605</c:v>
                </c:pt>
                <c:pt idx="65">
                  <c:v>93.9476001734118</c:v>
                </c:pt>
                <c:pt idx="66">
                  <c:v>94.351757017300201</c:v>
                </c:pt>
                <c:pt idx="67">
                  <c:v>94.101299519128702</c:v>
                </c:pt>
                <c:pt idx="68">
                  <c:v>94.888190008582001</c:v>
                </c:pt>
                <c:pt idx="69">
                  <c:v>95.3059247770219</c:v>
                </c:pt>
                <c:pt idx="70">
                  <c:v>94.853849223425101</c:v>
                </c:pt>
                <c:pt idx="71">
                  <c:v>95.139969685732694</c:v>
                </c:pt>
                <c:pt idx="72">
                  <c:v>95.109063982565104</c:v>
                </c:pt>
                <c:pt idx="73">
                  <c:v>94.568814345388802</c:v>
                </c:pt>
                <c:pt idx="74">
                  <c:v>94.561018507491397</c:v>
                </c:pt>
                <c:pt idx="75">
                  <c:v>95.232344602140799</c:v>
                </c:pt>
                <c:pt idx="76">
                  <c:v>93.935952280172899</c:v>
                </c:pt>
                <c:pt idx="77">
                  <c:v>94.568206496074595</c:v>
                </c:pt>
                <c:pt idx="78">
                  <c:v>93.842213286874795</c:v>
                </c:pt>
                <c:pt idx="79">
                  <c:v>94.408793388778406</c:v>
                </c:pt>
                <c:pt idx="80">
                  <c:v>93.054369640321994</c:v>
                </c:pt>
                <c:pt idx="81">
                  <c:v>89.048847823558305</c:v>
                </c:pt>
                <c:pt idx="82">
                  <c:v>88.378632791020905</c:v>
                </c:pt>
                <c:pt idx="83">
                  <c:v>88.032385631704599</c:v>
                </c:pt>
                <c:pt idx="84">
                  <c:v>91.8437979147959</c:v>
                </c:pt>
                <c:pt idx="85">
                  <c:v>89.195342876484006</c:v>
                </c:pt>
                <c:pt idx="86">
                  <c:v>91.054992603630694</c:v>
                </c:pt>
                <c:pt idx="87">
                  <c:v>92.624710797584399</c:v>
                </c:pt>
                <c:pt idx="88">
                  <c:v>94.046418791941207</c:v>
                </c:pt>
                <c:pt idx="89">
                  <c:v>95.493953306334106</c:v>
                </c:pt>
                <c:pt idx="90">
                  <c:v>96.345991187065096</c:v>
                </c:pt>
                <c:pt idx="91">
                  <c:v>96.420245308278496</c:v>
                </c:pt>
                <c:pt idx="92">
                  <c:v>94.818713269482402</c:v>
                </c:pt>
                <c:pt idx="93">
                  <c:v>95.964858593781301</c:v>
                </c:pt>
                <c:pt idx="94">
                  <c:v>95.460948940152605</c:v>
                </c:pt>
                <c:pt idx="95">
                  <c:v>95.619218590828496</c:v>
                </c:pt>
                <c:pt idx="96">
                  <c:v>95.790489750931798</c:v>
                </c:pt>
                <c:pt idx="97">
                  <c:v>96.646902792491503</c:v>
                </c:pt>
                <c:pt idx="98">
                  <c:v>97.198131092496396</c:v>
                </c:pt>
                <c:pt idx="99">
                  <c:v>96.270125492668498</c:v>
                </c:pt>
                <c:pt idx="100">
                  <c:v>97.502893485526997</c:v>
                </c:pt>
                <c:pt idx="101">
                  <c:v>99.1672240861012</c:v>
                </c:pt>
                <c:pt idx="102">
                  <c:v>98.293939705271896</c:v>
                </c:pt>
                <c:pt idx="103">
                  <c:v>98.205288391870795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B-4F47-9C1D-43ECBCC8BCFE}"/>
            </c:ext>
          </c:extLst>
        </c:ser>
        <c:ser>
          <c:idx val="3"/>
          <c:order val="2"/>
          <c:tx>
            <c:strRef>
              <c:f>Datos!$M$4</c:f>
              <c:strCache>
                <c:ptCount val="1"/>
                <c:pt idx="0">
                  <c:v>Mínimo España exlc. COVID</c:v>
                </c:pt>
              </c:strCache>
            </c:strRef>
          </c:tx>
          <c:spPr>
            <a:ln w="12700" cap="flat">
              <a:solidFill>
                <a:srgbClr val="7F7F7F"/>
              </a:solidFill>
              <a:prstDash val="sysDot"/>
              <a:miter lim="800000"/>
            </a:ln>
          </c:spPr>
          <c:marker>
            <c:symbol val="none"/>
          </c:marker>
          <c:cat>
            <c:numRef>
              <c:f>Datos!$C$5:$C$108</c:f>
              <c:numCache>
                <c:formatCode>General</c:formatCode>
                <c:ptCount val="10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2002</c:v>
                </c:pt>
                <c:pt idx="9">
                  <c:v>2002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2004</c:v>
                </c:pt>
                <c:pt idx="17">
                  <c:v>2004</c:v>
                </c:pt>
                <c:pt idx="18">
                  <c:v>2004</c:v>
                </c:pt>
                <c:pt idx="19">
                  <c:v>2004</c:v>
                </c:pt>
                <c:pt idx="20">
                  <c:v>2005</c:v>
                </c:pt>
                <c:pt idx="21">
                  <c:v>2005</c:v>
                </c:pt>
                <c:pt idx="22">
                  <c:v>2005</c:v>
                </c:pt>
                <c:pt idx="23">
                  <c:v>2005</c:v>
                </c:pt>
                <c:pt idx="24">
                  <c:v>2006</c:v>
                </c:pt>
                <c:pt idx="25">
                  <c:v>2006</c:v>
                </c:pt>
                <c:pt idx="26">
                  <c:v>2006</c:v>
                </c:pt>
                <c:pt idx="27">
                  <c:v>2006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  <c:pt idx="32">
                  <c:v>2008</c:v>
                </c:pt>
                <c:pt idx="33">
                  <c:v>2008</c:v>
                </c:pt>
                <c:pt idx="34">
                  <c:v>2008</c:v>
                </c:pt>
                <c:pt idx="35">
                  <c:v>2008</c:v>
                </c:pt>
                <c:pt idx="36">
                  <c:v>2009</c:v>
                </c:pt>
                <c:pt idx="37">
                  <c:v>2009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2010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2019</c:v>
                </c:pt>
                <c:pt idx="77">
                  <c:v>2019</c:v>
                </c:pt>
                <c:pt idx="78">
                  <c:v>2019</c:v>
                </c:pt>
                <c:pt idx="79">
                  <c:v>2019</c:v>
                </c:pt>
                <c:pt idx="80">
                  <c:v>2020</c:v>
                </c:pt>
                <c:pt idx="81">
                  <c:v>2020</c:v>
                </c:pt>
                <c:pt idx="82">
                  <c:v>2020</c:v>
                </c:pt>
                <c:pt idx="83">
                  <c:v>2020</c:v>
                </c:pt>
                <c:pt idx="84">
                  <c:v>2021</c:v>
                </c:pt>
                <c:pt idx="85">
                  <c:v>2021</c:v>
                </c:pt>
                <c:pt idx="86">
                  <c:v>2021</c:v>
                </c:pt>
                <c:pt idx="87">
                  <c:v>2021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2024</c:v>
                </c:pt>
                <c:pt idx="97">
                  <c:v>2024</c:v>
                </c:pt>
                <c:pt idx="98">
                  <c:v>2024</c:v>
                </c:pt>
                <c:pt idx="99">
                  <c:v>2024</c:v>
                </c:pt>
                <c:pt idx="100">
                  <c:v>2025</c:v>
                </c:pt>
                <c:pt idx="101">
                  <c:v>2025</c:v>
                </c:pt>
                <c:pt idx="102">
                  <c:v>2025</c:v>
                </c:pt>
                <c:pt idx="103">
                  <c:v>2025</c:v>
                </c:pt>
              </c:numCache>
            </c:numRef>
          </c:cat>
          <c:val>
            <c:numRef>
              <c:f>Datos!$M$5:$M$108</c:f>
              <c:numCache>
                <c:formatCode>General</c:formatCode>
                <c:ptCount val="104"/>
                <c:pt idx="0">
                  <c:v>-1000</c:v>
                </c:pt>
                <c:pt idx="1">
                  <c:v>-1000</c:v>
                </c:pt>
                <c:pt idx="2">
                  <c:v>-1000</c:v>
                </c:pt>
                <c:pt idx="3">
                  <c:v>-1000</c:v>
                </c:pt>
                <c:pt idx="4">
                  <c:v>-1000</c:v>
                </c:pt>
                <c:pt idx="5">
                  <c:v>-1000</c:v>
                </c:pt>
                <c:pt idx="6">
                  <c:v>-1000</c:v>
                </c:pt>
                <c:pt idx="7">
                  <c:v>-1000</c:v>
                </c:pt>
                <c:pt idx="8">
                  <c:v>-1000</c:v>
                </c:pt>
                <c:pt idx="9">
                  <c:v>-1000</c:v>
                </c:pt>
                <c:pt idx="10">
                  <c:v>-1000</c:v>
                </c:pt>
                <c:pt idx="11">
                  <c:v>-1000</c:v>
                </c:pt>
                <c:pt idx="12">
                  <c:v>-1000</c:v>
                </c:pt>
                <c:pt idx="13">
                  <c:v>-1000</c:v>
                </c:pt>
                <c:pt idx="14">
                  <c:v>-1000</c:v>
                </c:pt>
                <c:pt idx="15">
                  <c:v>-1000</c:v>
                </c:pt>
                <c:pt idx="16">
                  <c:v>-1000</c:v>
                </c:pt>
                <c:pt idx="17">
                  <c:v>-1000</c:v>
                </c:pt>
                <c:pt idx="18">
                  <c:v>-1000</c:v>
                </c:pt>
                <c:pt idx="19">
                  <c:v>-1000</c:v>
                </c:pt>
                <c:pt idx="20">
                  <c:v>-1000</c:v>
                </c:pt>
                <c:pt idx="21">
                  <c:v>-1000</c:v>
                </c:pt>
                <c:pt idx="22">
                  <c:v>-1000</c:v>
                </c:pt>
                <c:pt idx="23">
                  <c:v>-1000</c:v>
                </c:pt>
                <c:pt idx="24">
                  <c:v>-1000</c:v>
                </c:pt>
                <c:pt idx="25">
                  <c:v>-1000</c:v>
                </c:pt>
                <c:pt idx="26">
                  <c:v>-1000</c:v>
                </c:pt>
                <c:pt idx="27">
                  <c:v>-1000</c:v>
                </c:pt>
                <c:pt idx="28">
                  <c:v>-1000</c:v>
                </c:pt>
                <c:pt idx="29">
                  <c:v>-1000</c:v>
                </c:pt>
                <c:pt idx="30">
                  <c:v>-1000</c:v>
                </c:pt>
                <c:pt idx="31">
                  <c:v>-1000</c:v>
                </c:pt>
                <c:pt idx="32">
                  <c:v>-1000</c:v>
                </c:pt>
                <c:pt idx="33">
                  <c:v>-1000</c:v>
                </c:pt>
                <c:pt idx="34">
                  <c:v>-1000</c:v>
                </c:pt>
                <c:pt idx="35">
                  <c:v>-1000</c:v>
                </c:pt>
                <c:pt idx="36">
                  <c:v>-1000</c:v>
                </c:pt>
                <c:pt idx="37">
                  <c:v>-1000</c:v>
                </c:pt>
                <c:pt idx="38">
                  <c:v>-1000</c:v>
                </c:pt>
                <c:pt idx="39">
                  <c:v>-1000</c:v>
                </c:pt>
                <c:pt idx="40">
                  <c:v>-1000</c:v>
                </c:pt>
                <c:pt idx="41">
                  <c:v>-1000</c:v>
                </c:pt>
                <c:pt idx="42">
                  <c:v>-1000</c:v>
                </c:pt>
                <c:pt idx="43">
                  <c:v>-1000</c:v>
                </c:pt>
                <c:pt idx="44">
                  <c:v>-1000</c:v>
                </c:pt>
                <c:pt idx="45">
                  <c:v>-1000</c:v>
                </c:pt>
                <c:pt idx="46">
                  <c:v>-1000</c:v>
                </c:pt>
                <c:pt idx="47">
                  <c:v>-1000</c:v>
                </c:pt>
                <c:pt idx="48">
                  <c:v>-1000</c:v>
                </c:pt>
                <c:pt idx="49">
                  <c:v>-1000</c:v>
                </c:pt>
                <c:pt idx="50">
                  <c:v>-1000</c:v>
                </c:pt>
                <c:pt idx="51">
                  <c:v>-1000</c:v>
                </c:pt>
                <c:pt idx="52">
                  <c:v>-1000</c:v>
                </c:pt>
                <c:pt idx="53">
                  <c:v>-1000</c:v>
                </c:pt>
                <c:pt idx="54">
                  <c:v>-1000</c:v>
                </c:pt>
                <c:pt idx="55">
                  <c:v>-1000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B-4F47-9C1D-43ECBCC8BCFE}"/>
            </c:ext>
          </c:extLst>
        </c:ser>
        <c:ser>
          <c:idx val="2"/>
          <c:order val="3"/>
          <c:tx>
            <c:strRef>
              <c:f>Datos!$N$4</c:f>
              <c:strCache>
                <c:ptCount val="1"/>
                <c:pt idx="0">
                  <c:v>Tendencia España</c:v>
                </c:pt>
              </c:strCache>
            </c:strRef>
          </c:tx>
          <c:spPr>
            <a:ln cap="flat">
              <a:solidFill>
                <a:srgbClr val="7DB749"/>
              </a:solidFill>
            </a:ln>
          </c:spPr>
          <c:marker>
            <c:symbol val="none"/>
          </c:marker>
          <c:cat>
            <c:numRef>
              <c:f>Datos!$C$5:$C$108</c:f>
              <c:numCache>
                <c:formatCode>General</c:formatCode>
                <c:ptCount val="10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2002</c:v>
                </c:pt>
                <c:pt idx="9">
                  <c:v>2002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2004</c:v>
                </c:pt>
                <c:pt idx="17">
                  <c:v>2004</c:v>
                </c:pt>
                <c:pt idx="18">
                  <c:v>2004</c:v>
                </c:pt>
                <c:pt idx="19">
                  <c:v>2004</c:v>
                </c:pt>
                <c:pt idx="20">
                  <c:v>2005</c:v>
                </c:pt>
                <c:pt idx="21">
                  <c:v>2005</c:v>
                </c:pt>
                <c:pt idx="22">
                  <c:v>2005</c:v>
                </c:pt>
                <c:pt idx="23">
                  <c:v>2005</c:v>
                </c:pt>
                <c:pt idx="24">
                  <c:v>2006</c:v>
                </c:pt>
                <c:pt idx="25">
                  <c:v>2006</c:v>
                </c:pt>
                <c:pt idx="26">
                  <c:v>2006</c:v>
                </c:pt>
                <c:pt idx="27">
                  <c:v>2006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  <c:pt idx="32">
                  <c:v>2008</c:v>
                </c:pt>
                <c:pt idx="33">
                  <c:v>2008</c:v>
                </c:pt>
                <c:pt idx="34">
                  <c:v>2008</c:v>
                </c:pt>
                <c:pt idx="35">
                  <c:v>2008</c:v>
                </c:pt>
                <c:pt idx="36">
                  <c:v>2009</c:v>
                </c:pt>
                <c:pt idx="37">
                  <c:v>2009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2010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2019</c:v>
                </c:pt>
                <c:pt idx="77">
                  <c:v>2019</c:v>
                </c:pt>
                <c:pt idx="78">
                  <c:v>2019</c:v>
                </c:pt>
                <c:pt idx="79">
                  <c:v>2019</c:v>
                </c:pt>
                <c:pt idx="80">
                  <c:v>2020</c:v>
                </c:pt>
                <c:pt idx="81">
                  <c:v>2020</c:v>
                </c:pt>
                <c:pt idx="82">
                  <c:v>2020</c:v>
                </c:pt>
                <c:pt idx="83">
                  <c:v>2020</c:v>
                </c:pt>
                <c:pt idx="84">
                  <c:v>2021</c:v>
                </c:pt>
                <c:pt idx="85">
                  <c:v>2021</c:v>
                </c:pt>
                <c:pt idx="86">
                  <c:v>2021</c:v>
                </c:pt>
                <c:pt idx="87">
                  <c:v>2021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2024</c:v>
                </c:pt>
                <c:pt idx="97">
                  <c:v>2024</c:v>
                </c:pt>
                <c:pt idx="98">
                  <c:v>2024</c:v>
                </c:pt>
                <c:pt idx="99">
                  <c:v>2024</c:v>
                </c:pt>
                <c:pt idx="100">
                  <c:v>2025</c:v>
                </c:pt>
                <c:pt idx="101">
                  <c:v>2025</c:v>
                </c:pt>
                <c:pt idx="102">
                  <c:v>2025</c:v>
                </c:pt>
                <c:pt idx="103">
                  <c:v>2025</c:v>
                </c:pt>
              </c:numCache>
            </c:numRef>
          </c:cat>
          <c:val>
            <c:numRef>
              <c:f>Datos!$N$5:$N$108</c:f>
              <c:numCache>
                <c:formatCode>General</c:formatCode>
                <c:ptCount val="104"/>
                <c:pt idx="0">
                  <c:v>100</c:v>
                </c:pt>
                <c:pt idx="1">
                  <c:v>99.871282382160942</c:v>
                </c:pt>
                <c:pt idx="2">
                  <c:v>99.742564764321884</c:v>
                </c:pt>
                <c:pt idx="3">
                  <c:v>99.613847146482826</c:v>
                </c:pt>
                <c:pt idx="4">
                  <c:v>99.485129528643768</c:v>
                </c:pt>
                <c:pt idx="5">
                  <c:v>99.356411910804709</c:v>
                </c:pt>
                <c:pt idx="6">
                  <c:v>99.227694292965651</c:v>
                </c:pt>
                <c:pt idx="7">
                  <c:v>99.098976675126593</c:v>
                </c:pt>
                <c:pt idx="8">
                  <c:v>98.970259057287535</c:v>
                </c:pt>
                <c:pt idx="9">
                  <c:v>98.841541439448477</c:v>
                </c:pt>
                <c:pt idx="10">
                  <c:v>98.712823821609419</c:v>
                </c:pt>
                <c:pt idx="11">
                  <c:v>98.584106203770361</c:v>
                </c:pt>
                <c:pt idx="12">
                  <c:v>98.455388585931303</c:v>
                </c:pt>
                <c:pt idx="13">
                  <c:v>98.326670968092245</c:v>
                </c:pt>
                <c:pt idx="14">
                  <c:v>98.197953350253186</c:v>
                </c:pt>
                <c:pt idx="15">
                  <c:v>98.069235732414128</c:v>
                </c:pt>
                <c:pt idx="16">
                  <c:v>97.94051811457507</c:v>
                </c:pt>
                <c:pt idx="17">
                  <c:v>97.811800496736012</c:v>
                </c:pt>
                <c:pt idx="18">
                  <c:v>97.683082878896954</c:v>
                </c:pt>
                <c:pt idx="19">
                  <c:v>97.554365261057896</c:v>
                </c:pt>
                <c:pt idx="20">
                  <c:v>97.425647643218838</c:v>
                </c:pt>
                <c:pt idx="21">
                  <c:v>97.29693002537978</c:v>
                </c:pt>
                <c:pt idx="22">
                  <c:v>97.168212407540722</c:v>
                </c:pt>
                <c:pt idx="23">
                  <c:v>97.039494789701664</c:v>
                </c:pt>
                <c:pt idx="24">
                  <c:v>96.910777171862605</c:v>
                </c:pt>
                <c:pt idx="25">
                  <c:v>96.782059554023547</c:v>
                </c:pt>
                <c:pt idx="26">
                  <c:v>96.653341936184489</c:v>
                </c:pt>
                <c:pt idx="27">
                  <c:v>96.524624318345431</c:v>
                </c:pt>
                <c:pt idx="28">
                  <c:v>96.395906700506373</c:v>
                </c:pt>
                <c:pt idx="29">
                  <c:v>96.267189082667315</c:v>
                </c:pt>
                <c:pt idx="30">
                  <c:v>96.138471464828257</c:v>
                </c:pt>
                <c:pt idx="31">
                  <c:v>96.009753846989199</c:v>
                </c:pt>
                <c:pt idx="32">
                  <c:v>95.881036229150141</c:v>
                </c:pt>
                <c:pt idx="33">
                  <c:v>95.752318611311082</c:v>
                </c:pt>
                <c:pt idx="34">
                  <c:v>95.623600993472024</c:v>
                </c:pt>
                <c:pt idx="35">
                  <c:v>95.494883375632966</c:v>
                </c:pt>
                <c:pt idx="36">
                  <c:v>95.366165757793908</c:v>
                </c:pt>
                <c:pt idx="37">
                  <c:v>95.23744813995485</c:v>
                </c:pt>
                <c:pt idx="38">
                  <c:v>95.108730522115792</c:v>
                </c:pt>
                <c:pt idx="39">
                  <c:v>94.980012904276734</c:v>
                </c:pt>
                <c:pt idx="40">
                  <c:v>94.851295286437676</c:v>
                </c:pt>
                <c:pt idx="41">
                  <c:v>94.722577668598618</c:v>
                </c:pt>
                <c:pt idx="42">
                  <c:v>94.593860050759559</c:v>
                </c:pt>
                <c:pt idx="43">
                  <c:v>94.465142432920501</c:v>
                </c:pt>
                <c:pt idx="44">
                  <c:v>94.336424815081443</c:v>
                </c:pt>
                <c:pt idx="45">
                  <c:v>94.207707197242385</c:v>
                </c:pt>
                <c:pt idx="46">
                  <c:v>94.078989579403327</c:v>
                </c:pt>
                <c:pt idx="47">
                  <c:v>93.950271961564269</c:v>
                </c:pt>
                <c:pt idx="48">
                  <c:v>93.821554343725211</c:v>
                </c:pt>
                <c:pt idx="49">
                  <c:v>93.692836725886153</c:v>
                </c:pt>
                <c:pt idx="50">
                  <c:v>93.564119108047095</c:v>
                </c:pt>
                <c:pt idx="51">
                  <c:v>93.435401490208037</c:v>
                </c:pt>
                <c:pt idx="52">
                  <c:v>93.306683872368978</c:v>
                </c:pt>
                <c:pt idx="53">
                  <c:v>93.17796625452992</c:v>
                </c:pt>
                <c:pt idx="54">
                  <c:v>93.049248636690862</c:v>
                </c:pt>
                <c:pt idx="55">
                  <c:v>92.920531018851804</c:v>
                </c:pt>
                <c:pt idx="56">
                  <c:v>92.663095783173503</c:v>
                </c:pt>
                <c:pt idx="57">
                  <c:v>92.778558129188028</c:v>
                </c:pt>
                <c:pt idx="58">
                  <c:v>92.894020475202552</c:v>
                </c:pt>
                <c:pt idx="59">
                  <c:v>93.009482821217077</c:v>
                </c:pt>
                <c:pt idx="60">
                  <c:v>93.124945167231601</c:v>
                </c:pt>
                <c:pt idx="61">
                  <c:v>93.240407513246126</c:v>
                </c:pt>
                <c:pt idx="62">
                  <c:v>93.35586985926065</c:v>
                </c:pt>
                <c:pt idx="63">
                  <c:v>93.471332205275175</c:v>
                </c:pt>
                <c:pt idx="64">
                  <c:v>93.586794551289699</c:v>
                </c:pt>
                <c:pt idx="65">
                  <c:v>93.702256897304224</c:v>
                </c:pt>
                <c:pt idx="66">
                  <c:v>93.817719243318749</c:v>
                </c:pt>
                <c:pt idx="67">
                  <c:v>93.933181589333273</c:v>
                </c:pt>
                <c:pt idx="68">
                  <c:v>94.048643935347798</c:v>
                </c:pt>
                <c:pt idx="69">
                  <c:v>94.164106281362322</c:v>
                </c:pt>
                <c:pt idx="70">
                  <c:v>94.279568627376847</c:v>
                </c:pt>
                <c:pt idx="71">
                  <c:v>94.395030973391371</c:v>
                </c:pt>
                <c:pt idx="72">
                  <c:v>94.510493319405896</c:v>
                </c:pt>
                <c:pt idx="73">
                  <c:v>94.62595566542042</c:v>
                </c:pt>
                <c:pt idx="74">
                  <c:v>94.741418011434945</c:v>
                </c:pt>
                <c:pt idx="75">
                  <c:v>94.856880357449469</c:v>
                </c:pt>
                <c:pt idx="76">
                  <c:v>94.972342703463994</c:v>
                </c:pt>
                <c:pt idx="77">
                  <c:v>95.087805049478519</c:v>
                </c:pt>
                <c:pt idx="78">
                  <c:v>95.203267395493043</c:v>
                </c:pt>
                <c:pt idx="79">
                  <c:v>95.318729741507568</c:v>
                </c:pt>
                <c:pt idx="80">
                  <c:v>95.434192087522092</c:v>
                </c:pt>
                <c:pt idx="81">
                  <c:v>95.549654433536617</c:v>
                </c:pt>
                <c:pt idx="82">
                  <c:v>95.665116779551141</c:v>
                </c:pt>
                <c:pt idx="83">
                  <c:v>95.780579125565666</c:v>
                </c:pt>
                <c:pt idx="84">
                  <c:v>95.89604147158019</c:v>
                </c:pt>
                <c:pt idx="85">
                  <c:v>96.011503817594715</c:v>
                </c:pt>
                <c:pt idx="86">
                  <c:v>96.126966163609239</c:v>
                </c:pt>
                <c:pt idx="87">
                  <c:v>96.242428509623764</c:v>
                </c:pt>
                <c:pt idx="88">
                  <c:v>96.357890855638288</c:v>
                </c:pt>
                <c:pt idx="89">
                  <c:v>96.473353201652813</c:v>
                </c:pt>
                <c:pt idx="90">
                  <c:v>96.588815547667338</c:v>
                </c:pt>
                <c:pt idx="91">
                  <c:v>96.704277893681862</c:v>
                </c:pt>
                <c:pt idx="92">
                  <c:v>96.819740239696387</c:v>
                </c:pt>
                <c:pt idx="93">
                  <c:v>96.935202585710911</c:v>
                </c:pt>
                <c:pt idx="94">
                  <c:v>97.050664931725436</c:v>
                </c:pt>
                <c:pt idx="95">
                  <c:v>97.16612727773996</c:v>
                </c:pt>
                <c:pt idx="96">
                  <c:v>97.281589623754485</c:v>
                </c:pt>
                <c:pt idx="97">
                  <c:v>97.397051969769009</c:v>
                </c:pt>
                <c:pt idx="98">
                  <c:v>97.512514315783534</c:v>
                </c:pt>
                <c:pt idx="99">
                  <c:v>97.627976661798058</c:v>
                </c:pt>
                <c:pt idx="100">
                  <c:v>97.743439007812583</c:v>
                </c:pt>
                <c:pt idx="101">
                  <c:v>97.858901353827108</c:v>
                </c:pt>
                <c:pt idx="102">
                  <c:v>97.974363699841632</c:v>
                </c:pt>
                <c:pt idx="103">
                  <c:v>98.205288391870795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3B-4F47-9C1D-43ECBCC8BCFE}"/>
            </c:ext>
          </c:extLst>
        </c:ser>
        <c:ser>
          <c:idx val="4"/>
          <c:order val="4"/>
          <c:tx>
            <c:strRef>
              <c:f>Datos!$O$4</c:f>
              <c:strCache>
                <c:ptCount val="1"/>
                <c:pt idx="0">
                  <c:v>Tendencia UEM</c:v>
                </c:pt>
              </c:strCache>
            </c:strRef>
          </c:tx>
          <c:spPr>
            <a:ln cap="flat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Datos!$C$5:$C$108</c:f>
              <c:numCache>
                <c:formatCode>General</c:formatCode>
                <c:ptCount val="10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2002</c:v>
                </c:pt>
                <c:pt idx="9">
                  <c:v>2002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2004</c:v>
                </c:pt>
                <c:pt idx="17">
                  <c:v>2004</c:v>
                </c:pt>
                <c:pt idx="18">
                  <c:v>2004</c:v>
                </c:pt>
                <c:pt idx="19">
                  <c:v>2004</c:v>
                </c:pt>
                <c:pt idx="20">
                  <c:v>2005</c:v>
                </c:pt>
                <c:pt idx="21">
                  <c:v>2005</c:v>
                </c:pt>
                <c:pt idx="22">
                  <c:v>2005</c:v>
                </c:pt>
                <c:pt idx="23">
                  <c:v>2005</c:v>
                </c:pt>
                <c:pt idx="24">
                  <c:v>2006</c:v>
                </c:pt>
                <c:pt idx="25">
                  <c:v>2006</c:v>
                </c:pt>
                <c:pt idx="26">
                  <c:v>2006</c:v>
                </c:pt>
                <c:pt idx="27">
                  <c:v>2006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  <c:pt idx="32">
                  <c:v>2008</c:v>
                </c:pt>
                <c:pt idx="33">
                  <c:v>2008</c:v>
                </c:pt>
                <c:pt idx="34">
                  <c:v>2008</c:v>
                </c:pt>
                <c:pt idx="35">
                  <c:v>2008</c:v>
                </c:pt>
                <c:pt idx="36">
                  <c:v>2009</c:v>
                </c:pt>
                <c:pt idx="37">
                  <c:v>2009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2010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2018</c:v>
                </c:pt>
                <c:pt idx="73">
                  <c:v>2018</c:v>
                </c:pt>
                <c:pt idx="74">
                  <c:v>2018</c:v>
                </c:pt>
                <c:pt idx="75">
                  <c:v>2018</c:v>
                </c:pt>
                <c:pt idx="76">
                  <c:v>2019</c:v>
                </c:pt>
                <c:pt idx="77">
                  <c:v>2019</c:v>
                </c:pt>
                <c:pt idx="78">
                  <c:v>2019</c:v>
                </c:pt>
                <c:pt idx="79">
                  <c:v>2019</c:v>
                </c:pt>
                <c:pt idx="80">
                  <c:v>2020</c:v>
                </c:pt>
                <c:pt idx="81">
                  <c:v>2020</c:v>
                </c:pt>
                <c:pt idx="82">
                  <c:v>2020</c:v>
                </c:pt>
                <c:pt idx="83">
                  <c:v>2020</c:v>
                </c:pt>
                <c:pt idx="84">
                  <c:v>2021</c:v>
                </c:pt>
                <c:pt idx="85">
                  <c:v>2021</c:v>
                </c:pt>
                <c:pt idx="86">
                  <c:v>2021</c:v>
                </c:pt>
                <c:pt idx="87">
                  <c:v>2021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2023</c:v>
                </c:pt>
                <c:pt idx="93">
                  <c:v>2023</c:v>
                </c:pt>
                <c:pt idx="94">
                  <c:v>2023</c:v>
                </c:pt>
                <c:pt idx="95">
                  <c:v>2023</c:v>
                </c:pt>
                <c:pt idx="96">
                  <c:v>2024</c:v>
                </c:pt>
                <c:pt idx="97">
                  <c:v>2024</c:v>
                </c:pt>
                <c:pt idx="98">
                  <c:v>2024</c:v>
                </c:pt>
                <c:pt idx="99">
                  <c:v>2024</c:v>
                </c:pt>
                <c:pt idx="100">
                  <c:v>2025</c:v>
                </c:pt>
                <c:pt idx="101">
                  <c:v>2025</c:v>
                </c:pt>
                <c:pt idx="102">
                  <c:v>2025</c:v>
                </c:pt>
                <c:pt idx="103">
                  <c:v>2025</c:v>
                </c:pt>
              </c:numCache>
            </c:numRef>
          </c:cat>
          <c:val>
            <c:numRef>
              <c:f>Datos!$O$5:$O$108</c:f>
              <c:numCache>
                <c:formatCode>General</c:formatCode>
                <c:ptCount val="104"/>
                <c:pt idx="0">
                  <c:v>100</c:v>
                </c:pt>
                <c:pt idx="1">
                  <c:v>100.10346088586141</c:v>
                </c:pt>
                <c:pt idx="2">
                  <c:v>100.20692177172282</c:v>
                </c:pt>
                <c:pt idx="3">
                  <c:v>100.31038265758423</c:v>
                </c:pt>
                <c:pt idx="4">
                  <c:v>100.41384354344564</c:v>
                </c:pt>
                <c:pt idx="5">
                  <c:v>100.51730442930705</c:v>
                </c:pt>
                <c:pt idx="6">
                  <c:v>100.62076531516846</c:v>
                </c:pt>
                <c:pt idx="7">
                  <c:v>100.72422620102986</c:v>
                </c:pt>
                <c:pt idx="8">
                  <c:v>100.82768708689127</c:v>
                </c:pt>
                <c:pt idx="9">
                  <c:v>100.93114797275268</c:v>
                </c:pt>
                <c:pt idx="10">
                  <c:v>101.03460885861409</c:v>
                </c:pt>
                <c:pt idx="11">
                  <c:v>101.1380697444755</c:v>
                </c:pt>
                <c:pt idx="12">
                  <c:v>101.24153063033691</c:v>
                </c:pt>
                <c:pt idx="13">
                  <c:v>101.34499151619832</c:v>
                </c:pt>
                <c:pt idx="14">
                  <c:v>101.44845240205973</c:v>
                </c:pt>
                <c:pt idx="15">
                  <c:v>101.55191328792114</c:v>
                </c:pt>
                <c:pt idx="16">
                  <c:v>101.65537417378255</c:v>
                </c:pt>
                <c:pt idx="17">
                  <c:v>101.75883505964396</c:v>
                </c:pt>
                <c:pt idx="18">
                  <c:v>101.86229594550537</c:v>
                </c:pt>
                <c:pt idx="19">
                  <c:v>101.96575683136678</c:v>
                </c:pt>
                <c:pt idx="20">
                  <c:v>102.06921771722818</c:v>
                </c:pt>
                <c:pt idx="21">
                  <c:v>102.17267860308959</c:v>
                </c:pt>
                <c:pt idx="22">
                  <c:v>102.276139488951</c:v>
                </c:pt>
                <c:pt idx="23">
                  <c:v>102.37960037481241</c:v>
                </c:pt>
                <c:pt idx="24">
                  <c:v>102.48306126067382</c:v>
                </c:pt>
                <c:pt idx="25">
                  <c:v>102.58652214653523</c:v>
                </c:pt>
                <c:pt idx="26">
                  <c:v>102.68998303239664</c:v>
                </c:pt>
                <c:pt idx="27">
                  <c:v>102.79344391825805</c:v>
                </c:pt>
                <c:pt idx="28">
                  <c:v>102.89690480411946</c:v>
                </c:pt>
                <c:pt idx="29">
                  <c:v>103.00036568998087</c:v>
                </c:pt>
                <c:pt idx="30">
                  <c:v>103.10382657584228</c:v>
                </c:pt>
                <c:pt idx="31">
                  <c:v>103.20728746170369</c:v>
                </c:pt>
                <c:pt idx="32">
                  <c:v>103.3107483475651</c:v>
                </c:pt>
                <c:pt idx="33">
                  <c:v>103.4142092334265</c:v>
                </c:pt>
                <c:pt idx="34">
                  <c:v>103.51767011928791</c:v>
                </c:pt>
                <c:pt idx="35">
                  <c:v>103.62113100514932</c:v>
                </c:pt>
                <c:pt idx="36">
                  <c:v>103.72459189101073</c:v>
                </c:pt>
                <c:pt idx="37">
                  <c:v>103.82805277687214</c:v>
                </c:pt>
                <c:pt idx="38">
                  <c:v>103.93151366273355</c:v>
                </c:pt>
                <c:pt idx="39">
                  <c:v>104.03497454859496</c:v>
                </c:pt>
                <c:pt idx="40">
                  <c:v>104.13843543445637</c:v>
                </c:pt>
                <c:pt idx="41">
                  <c:v>104.24189632031778</c:v>
                </c:pt>
                <c:pt idx="42">
                  <c:v>104.34535720617919</c:v>
                </c:pt>
                <c:pt idx="43">
                  <c:v>104.4488180920406</c:v>
                </c:pt>
                <c:pt idx="44">
                  <c:v>104.55227897790201</c:v>
                </c:pt>
                <c:pt idx="45">
                  <c:v>104.65573986376342</c:v>
                </c:pt>
                <c:pt idx="46">
                  <c:v>104.75920074962482</c:v>
                </c:pt>
                <c:pt idx="47">
                  <c:v>104.86266163548623</c:v>
                </c:pt>
                <c:pt idx="48">
                  <c:v>104.96612252134764</c:v>
                </c:pt>
                <c:pt idx="49">
                  <c:v>105.06958340720905</c:v>
                </c:pt>
                <c:pt idx="50">
                  <c:v>105.17304429307046</c:v>
                </c:pt>
                <c:pt idx="51">
                  <c:v>105.27650517893187</c:v>
                </c:pt>
                <c:pt idx="52">
                  <c:v>105.37996606479328</c:v>
                </c:pt>
                <c:pt idx="53">
                  <c:v>105.48342695065469</c:v>
                </c:pt>
                <c:pt idx="54">
                  <c:v>105.5868878365161</c:v>
                </c:pt>
                <c:pt idx="55">
                  <c:v>105.69034872237751</c:v>
                </c:pt>
                <c:pt idx="56">
                  <c:v>105.8972704941</c:v>
                </c:pt>
                <c:pt idx="57">
                  <c:v>105.91916477465102</c:v>
                </c:pt>
                <c:pt idx="58">
                  <c:v>105.94105905520205</c:v>
                </c:pt>
                <c:pt idx="59">
                  <c:v>105.96295333575307</c:v>
                </c:pt>
                <c:pt idx="60">
                  <c:v>105.98484761630409</c:v>
                </c:pt>
                <c:pt idx="61">
                  <c:v>106.00674189685512</c:v>
                </c:pt>
                <c:pt idx="62">
                  <c:v>106.02863617740614</c:v>
                </c:pt>
                <c:pt idx="63">
                  <c:v>106.05053045795717</c:v>
                </c:pt>
                <c:pt idx="64">
                  <c:v>106.07242473850819</c:v>
                </c:pt>
                <c:pt idx="65">
                  <c:v>106.09431901905921</c:v>
                </c:pt>
                <c:pt idx="66">
                  <c:v>106.11621329961024</c:v>
                </c:pt>
                <c:pt idx="67">
                  <c:v>106.13810758016126</c:v>
                </c:pt>
                <c:pt idx="68">
                  <c:v>106.16000186071228</c:v>
                </c:pt>
                <c:pt idx="69">
                  <c:v>106.18189614126331</c:v>
                </c:pt>
                <c:pt idx="70">
                  <c:v>106.20379042181433</c:v>
                </c:pt>
                <c:pt idx="71">
                  <c:v>106.22568470236536</c:v>
                </c:pt>
                <c:pt idx="72">
                  <c:v>106.24757898291638</c:v>
                </c:pt>
                <c:pt idx="73">
                  <c:v>106.2694732634674</c:v>
                </c:pt>
                <c:pt idx="74">
                  <c:v>106.29136754401843</c:v>
                </c:pt>
                <c:pt idx="75">
                  <c:v>106.31326182456945</c:v>
                </c:pt>
                <c:pt idx="76">
                  <c:v>106.33515610512048</c:v>
                </c:pt>
                <c:pt idx="77">
                  <c:v>106.3570503856715</c:v>
                </c:pt>
                <c:pt idx="78">
                  <c:v>106.37894466622252</c:v>
                </c:pt>
                <c:pt idx="79">
                  <c:v>106.40083894677355</c:v>
                </c:pt>
                <c:pt idx="80">
                  <c:v>106.42273322732457</c:v>
                </c:pt>
                <c:pt idx="81">
                  <c:v>106.44462750787559</c:v>
                </c:pt>
                <c:pt idx="82">
                  <c:v>106.46652178842662</c:v>
                </c:pt>
                <c:pt idx="83">
                  <c:v>106.48841606897764</c:v>
                </c:pt>
                <c:pt idx="84">
                  <c:v>106.51031034952867</c:v>
                </c:pt>
                <c:pt idx="85">
                  <c:v>106.53220463007969</c:v>
                </c:pt>
                <c:pt idx="86">
                  <c:v>106.55409891063071</c:v>
                </c:pt>
                <c:pt idx="87">
                  <c:v>106.57599319118174</c:v>
                </c:pt>
                <c:pt idx="88">
                  <c:v>106.59788747173276</c:v>
                </c:pt>
                <c:pt idx="89">
                  <c:v>106.61978175228379</c:v>
                </c:pt>
                <c:pt idx="90">
                  <c:v>106.64167603283481</c:v>
                </c:pt>
                <c:pt idx="91">
                  <c:v>106.66357031338583</c:v>
                </c:pt>
                <c:pt idx="92">
                  <c:v>106.68546459393686</c:v>
                </c:pt>
                <c:pt idx="93">
                  <c:v>106.70735887448788</c:v>
                </c:pt>
                <c:pt idx="94">
                  <c:v>106.7292531550389</c:v>
                </c:pt>
                <c:pt idx="95">
                  <c:v>106.75114743558993</c:v>
                </c:pt>
                <c:pt idx="96">
                  <c:v>106.77304171614095</c:v>
                </c:pt>
                <c:pt idx="97">
                  <c:v>106.79493599669198</c:v>
                </c:pt>
                <c:pt idx="98">
                  <c:v>106.816830277243</c:v>
                </c:pt>
                <c:pt idx="99">
                  <c:v>106.83872455779402</c:v>
                </c:pt>
                <c:pt idx="100">
                  <c:v>106.86061883834505</c:v>
                </c:pt>
                <c:pt idx="101">
                  <c:v>106.88251311889607</c:v>
                </c:pt>
                <c:pt idx="102">
                  <c:v>106.90440739944709</c:v>
                </c:pt>
                <c:pt idx="103">
                  <c:v>106.948195960549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3B-4F47-9C1D-43ECBCC8BCFE}"/>
            </c:ext>
          </c:extLst>
        </c:ser>
        <c:ser>
          <c:idx val="5"/>
          <c:order val="5"/>
          <c:tx>
            <c:v>cien</c:v>
          </c:tx>
          <c:spPr>
            <a:ln w="6350" cap="flat">
              <a:solidFill>
                <a:sysClr val="window" lastClr="FFFFFF">
                  <a:lumMod val="50000"/>
                </a:sysClr>
              </a:solidFill>
              <a:miter lim="800000"/>
            </a:ln>
          </c:spPr>
          <c:marker>
            <c:symbol val="none"/>
          </c:marker>
          <c:val>
            <c:numRef>
              <c:f>Datos!$P$5:$P$108</c:f>
              <c:numCache>
                <c:formatCode>General</c:formatCode>
                <c:ptCount val="10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D-42C8-AF2D-5AA2B5F19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88584"/>
        <c:axId val="485588976"/>
      </c:lineChart>
      <c:catAx>
        <c:axId val="485588584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6350" cap="flat">
            <a:solidFill>
              <a:srgbClr val="FFFFFF">
                <a:lumMod val="50000"/>
              </a:srgbClr>
            </a:solidFill>
            <a:miter lim="800000"/>
          </a:ln>
        </c:spPr>
        <c:txPr>
          <a:bodyPr rot="-5400000" vert="horz"/>
          <a:lstStyle/>
          <a:p>
            <a:pPr>
              <a:defRPr sz="700" baseline="0">
                <a:solidFill>
                  <a:srgbClr val="000000"/>
                </a:solidFill>
                <a:latin typeface="Roboto" panose="02000000000000000000" pitchFamily="2" charset="0"/>
                <a:ea typeface="Roboto" panose="02000000000000000000" pitchFamily="2" charset="0"/>
              </a:defRPr>
            </a:pPr>
            <a:endParaRPr lang="es-ES"/>
          </a:p>
        </c:txPr>
        <c:crossAx val="485588976"/>
        <c:crossesAt val="0"/>
        <c:auto val="1"/>
        <c:lblAlgn val="ctr"/>
        <c:lblOffset val="100"/>
        <c:tickLblSkip val="4"/>
        <c:tickMarkSkip val="4"/>
        <c:noMultiLvlLbl val="0"/>
      </c:catAx>
      <c:valAx>
        <c:axId val="485588976"/>
        <c:scaling>
          <c:orientation val="minMax"/>
          <c:max val="115"/>
          <c:min val="85"/>
        </c:scaling>
        <c:delete val="0"/>
        <c:axPos val="l"/>
        <c:majorGridlines>
          <c:spPr>
            <a:ln w="3810" cap="flat">
              <a:solidFill>
                <a:srgbClr val="FFFFFF">
                  <a:lumMod val="65000"/>
                </a:srgbClr>
              </a:solidFill>
              <a:prstDash val="solid"/>
              <a:miter lim="800000"/>
            </a:ln>
          </c:spPr>
        </c:majorGridlines>
        <c:numFmt formatCode="#,##0" sourceLinked="0"/>
        <c:majorTickMark val="in"/>
        <c:minorTickMark val="none"/>
        <c:tickLblPos val="nextTo"/>
        <c:spPr>
          <a:noFill/>
          <a:ln w="6350" cap="flat">
            <a:solidFill>
              <a:srgbClr val="FFFFFF">
                <a:lumMod val="50000"/>
              </a:srgbClr>
            </a:solidFill>
            <a:miter lim="800000"/>
          </a:ln>
        </c:spPr>
        <c:txPr>
          <a:bodyPr/>
          <a:lstStyle/>
          <a:p>
            <a:pPr>
              <a:defRPr sz="700" baseline="0">
                <a:solidFill>
                  <a:srgbClr val="000000"/>
                </a:solidFill>
                <a:latin typeface="Roboto" panose="02000000000000000000" pitchFamily="2" charset="0"/>
                <a:ea typeface="Roboto" panose="02000000000000000000" pitchFamily="2" charset="0"/>
              </a:defRPr>
            </a:pPr>
            <a:endParaRPr lang="es-ES"/>
          </a:p>
        </c:txPr>
        <c:crossAx val="485588584"/>
        <c:crosses val="autoZero"/>
        <c:crossBetween val="between"/>
      </c:valAx>
      <c:spPr>
        <a:noFill/>
        <a:ln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6958188222717263"/>
          <c:y val="9.1883858278896183E-2"/>
          <c:w val="0.27000264628611581"/>
          <c:h val="0.33780989240279369"/>
        </c:manualLayout>
      </c:layout>
      <c:overlay val="0"/>
      <c:txPr>
        <a:bodyPr/>
        <a:lstStyle/>
        <a:p>
          <a:pPr>
            <a:defRPr sz="700" baseline="0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defRPr>
          </a:pPr>
          <a:endParaRPr lang="es-E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 paperSize="9" orientation="landscape"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87821608929523E-2"/>
          <c:y val="0.10809773951883275"/>
          <c:w val="0.63103564597634676"/>
          <c:h val="0.60269239684262788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Datos!$Z$4</c:f>
              <c:strCache>
                <c:ptCount val="1"/>
                <c:pt idx="0">
                  <c:v>Otros (b)</c:v>
                </c:pt>
              </c:strCache>
            </c:strRef>
          </c:tx>
          <c:spPr>
            <a:pattFill prst="dkHorz">
              <a:fgClr>
                <a:srgbClr val="000000">
                  <a:lumMod val="100000"/>
                </a:srgbClr>
              </a:fgClr>
              <a:bgClr>
                <a:srgbClr val="808080">
                  <a:lumMod val="100000"/>
                </a:srgbClr>
              </a:bgClr>
            </a:patt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Datos!$R$5:$S$8</c:f>
              <c:multiLvlStrCache>
                <c:ptCount val="4"/>
                <c:lvl>
                  <c:pt idx="0">
                    <c:v>2000-2013</c:v>
                  </c:pt>
                  <c:pt idx="1">
                    <c:v>2013-2025</c:v>
                  </c:pt>
                  <c:pt idx="2">
                    <c:v>2000-2013</c:v>
                  </c:pt>
                  <c:pt idx="3">
                    <c:v>2013-2025</c:v>
                  </c:pt>
                </c:lvl>
                <c:lvl>
                  <c:pt idx="0">
                    <c:v>España</c:v>
                  </c:pt>
                  <c:pt idx="2">
                    <c:v>Resto UEM</c:v>
                  </c:pt>
                </c:lvl>
              </c:multiLvlStrCache>
            </c:multiLvlStrRef>
          </c:cat>
          <c:val>
            <c:numRef>
              <c:f>Datos!$Z$5:$Z$8</c:f>
              <c:numCache>
                <c:formatCode>0.00</c:formatCode>
                <c:ptCount val="4"/>
                <c:pt idx="0">
                  <c:v>0.18302940070497198</c:v>
                </c:pt>
                <c:pt idx="1">
                  <c:v>0.44070637255901801</c:v>
                </c:pt>
                <c:pt idx="2">
                  <c:v>0.11278749315603198</c:v>
                </c:pt>
                <c:pt idx="3">
                  <c:v>0.29881230022493199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8-4432-B642-DD4AC59DFF6B}"/>
            </c:ext>
          </c:extLst>
        </c:ser>
        <c:ser>
          <c:idx val="4"/>
          <c:order val="1"/>
          <c:tx>
            <c:strRef>
              <c:f>Datos!$W$4</c:f>
              <c:strCache>
                <c:ptCount val="1"/>
                <c:pt idx="0">
                  <c:v>Capital por hora (K/h)</c:v>
                </c:pt>
              </c:strCache>
            </c:strRef>
          </c:tx>
          <c:spPr>
            <a:pattFill prst="pct90">
              <a:fgClr>
                <a:srgbClr val="7DB749">
                  <a:lumMod val="100000"/>
                </a:srgbClr>
              </a:fgClr>
              <a:bgClr>
                <a:srgbClr val="FFFFFF"/>
              </a:bgClr>
            </a:patt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Datos!$R$5:$S$8</c:f>
              <c:multiLvlStrCache>
                <c:ptCount val="4"/>
                <c:lvl>
                  <c:pt idx="0">
                    <c:v>2000-2013</c:v>
                  </c:pt>
                  <c:pt idx="1">
                    <c:v>2013-2025</c:v>
                  </c:pt>
                  <c:pt idx="2">
                    <c:v>2000-2013</c:v>
                  </c:pt>
                  <c:pt idx="3">
                    <c:v>2013-2025</c:v>
                  </c:pt>
                </c:lvl>
                <c:lvl>
                  <c:pt idx="0">
                    <c:v>España</c:v>
                  </c:pt>
                  <c:pt idx="2">
                    <c:v>Resto UEM</c:v>
                  </c:pt>
                </c:lvl>
              </c:multiLvlStrCache>
            </c:multiLvlStrRef>
          </c:cat>
          <c:val>
            <c:numRef>
              <c:f>Datos!$W$5:$W$8</c:f>
              <c:numCache>
                <c:formatCode>0.00</c:formatCode>
                <c:ptCount val="4"/>
                <c:pt idx="0">
                  <c:v>0.85089404187254403</c:v>
                </c:pt>
                <c:pt idx="1">
                  <c:v>-0.175276359092819</c:v>
                </c:pt>
                <c:pt idx="2">
                  <c:v>0.28541432632045299</c:v>
                </c:pt>
                <c:pt idx="3">
                  <c:v>0.13331573467820501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B8-4432-B642-DD4AC59DFF6B}"/>
            </c:ext>
          </c:extLst>
        </c:ser>
        <c:ser>
          <c:idx val="5"/>
          <c:order val="2"/>
          <c:tx>
            <c:strRef>
              <c:f>Datos!$X$4</c:f>
              <c:strCache>
                <c:ptCount val="1"/>
                <c:pt idx="0">
                  <c:v>PTF</c:v>
                </c:pt>
              </c:strCache>
            </c:strRef>
          </c:tx>
          <c:spPr>
            <a:pattFill prst="dkUpDiag">
              <a:fgClr>
                <a:srgbClr val="FFDB93">
                  <a:lumMod val="100000"/>
                </a:srgbClr>
              </a:fgClr>
              <a:bgClr>
                <a:srgbClr val="FFF0D2">
                  <a:lumMod val="100000"/>
                </a:srgbClr>
              </a:bgClr>
            </a:patt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Datos!$R$5:$S$8</c:f>
              <c:multiLvlStrCache>
                <c:ptCount val="4"/>
                <c:lvl>
                  <c:pt idx="0">
                    <c:v>2000-2013</c:v>
                  </c:pt>
                  <c:pt idx="1">
                    <c:v>2013-2025</c:v>
                  </c:pt>
                  <c:pt idx="2">
                    <c:v>2000-2013</c:v>
                  </c:pt>
                  <c:pt idx="3">
                    <c:v>2013-2025</c:v>
                  </c:pt>
                </c:lvl>
                <c:lvl>
                  <c:pt idx="0">
                    <c:v>España</c:v>
                  </c:pt>
                  <c:pt idx="2">
                    <c:v>Resto UEM</c:v>
                  </c:pt>
                </c:lvl>
              </c:multiLvlStrCache>
            </c:multiLvlStrRef>
          </c:cat>
          <c:val>
            <c:numRef>
              <c:f>Datos!$X$5:$X$8</c:f>
              <c:numCache>
                <c:formatCode>0.00</c:formatCode>
                <c:ptCount val="4"/>
                <c:pt idx="0">
                  <c:v>-0.515918394484567</c:v>
                </c:pt>
                <c:pt idx="1">
                  <c:v>0.41070072318298401</c:v>
                </c:pt>
                <c:pt idx="2">
                  <c:v>0.444594905931463</c:v>
                </c:pt>
                <c:pt idx="3">
                  <c:v>7.5909914470413203E-2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B8-4432-B642-DD4AC59DF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5588584"/>
        <c:axId val="485588976"/>
      </c:barChart>
      <c:lineChart>
        <c:grouping val="standard"/>
        <c:varyColors val="0"/>
        <c:ser>
          <c:idx val="1"/>
          <c:order val="3"/>
          <c:tx>
            <c:strRef>
              <c:f>Datos!$Y$4</c:f>
              <c:strCache>
                <c:ptCount val="1"/>
                <c:pt idx="0">
                  <c:v>Productividad por hora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EF9011"/>
              </a:solidFill>
              <a:ln>
                <a:noFill/>
              </a:ln>
            </c:spPr>
          </c:marker>
          <c:cat>
            <c:multiLvlStrRef>
              <c:f>Datos!$R$5:$S$8</c:f>
              <c:multiLvlStrCache>
                <c:ptCount val="4"/>
                <c:lvl>
                  <c:pt idx="0">
                    <c:v>2000-2013</c:v>
                  </c:pt>
                  <c:pt idx="1">
                    <c:v>2013-2025</c:v>
                  </c:pt>
                  <c:pt idx="2">
                    <c:v>2000-2013</c:v>
                  </c:pt>
                  <c:pt idx="3">
                    <c:v>2013-2025</c:v>
                  </c:pt>
                </c:lvl>
                <c:lvl>
                  <c:pt idx="0">
                    <c:v>España</c:v>
                  </c:pt>
                  <c:pt idx="2">
                    <c:v>Resto UEM</c:v>
                  </c:pt>
                </c:lvl>
              </c:multiLvlStrCache>
            </c:multiLvlStrRef>
          </c:cat>
          <c:val>
            <c:numRef>
              <c:f>Datos!$Y$5:$Y$8</c:f>
              <c:numCache>
                <c:formatCode>0.00</c:formatCode>
                <c:ptCount val="4"/>
                <c:pt idx="0">
                  <c:v>0.51800504809295</c:v>
                </c:pt>
                <c:pt idx="1">
                  <c:v>0.676130736649183</c:v>
                </c:pt>
                <c:pt idx="2">
                  <c:v>0.84279672540794803</c:v>
                </c:pt>
                <c:pt idx="3">
                  <c:v>0.50803794937355196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B8-4432-B642-DD4AC59DFF6B}"/>
            </c:ext>
          </c:extLst>
        </c:ser>
        <c:ser>
          <c:idx val="0"/>
          <c:order val="4"/>
          <c:tx>
            <c:v>linea</c:v>
          </c:tx>
          <c:spPr>
            <a:ln w="6350">
              <a:solidFill>
                <a:sysClr val="window" lastClr="FFFFFF"/>
              </a:solidFill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1B1-4A1F-B1DA-39E2BF44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588584"/>
        <c:axId val="485588976"/>
      </c:lineChart>
      <c:catAx>
        <c:axId val="485588584"/>
        <c:scaling>
          <c:orientation val="minMax"/>
        </c:scaling>
        <c:delete val="0"/>
        <c:axPos val="b"/>
        <c:numFmt formatCode="[$-1540A]mmm\-yy;@" sourceLinked="0"/>
        <c:majorTickMark val="cross"/>
        <c:minorTickMark val="none"/>
        <c:tickLblPos val="low"/>
        <c:spPr>
          <a:noFill/>
          <a:ln w="6350" cap="flat">
            <a:solidFill>
              <a:srgbClr val="FFFFFF">
                <a:lumMod val="50000"/>
              </a:srgbClr>
            </a:solidFill>
            <a:miter lim="800000"/>
          </a:ln>
        </c:spPr>
        <c:txPr>
          <a:bodyPr/>
          <a:lstStyle/>
          <a:p>
            <a:pPr>
              <a:defRPr sz="700" baseline="0">
                <a:latin typeface="Roboto" panose="02000000000000000000" pitchFamily="2" charset="0"/>
                <a:ea typeface="Roboto" panose="02000000000000000000" pitchFamily="2" charset="0"/>
              </a:defRPr>
            </a:pPr>
            <a:endParaRPr lang="es-ES"/>
          </a:p>
        </c:txPr>
        <c:crossAx val="485588976"/>
        <c:crosses val="autoZero"/>
        <c:auto val="1"/>
        <c:lblAlgn val="ctr"/>
        <c:lblOffset val="100"/>
        <c:noMultiLvlLbl val="0"/>
      </c:catAx>
      <c:valAx>
        <c:axId val="485588976"/>
        <c:scaling>
          <c:orientation val="minMax"/>
          <c:max val="1.2"/>
          <c:min val="-0.8"/>
        </c:scaling>
        <c:delete val="0"/>
        <c:axPos val="l"/>
        <c:majorGridlines>
          <c:spPr>
            <a:ln w="3810" cap="flat">
              <a:solidFill>
                <a:srgbClr val="FFFFFF">
                  <a:lumMod val="65000"/>
                </a:srgbClr>
              </a:solidFill>
              <a:prstDash val="solid"/>
              <a:miter lim="800000"/>
            </a:ln>
          </c:spPr>
        </c:majorGridlines>
        <c:numFmt formatCode="#,##0.0" sourceLinked="0"/>
        <c:majorTickMark val="in"/>
        <c:minorTickMark val="none"/>
        <c:tickLblPos val="nextTo"/>
        <c:spPr>
          <a:noFill/>
          <a:ln w="6350" cap="flat">
            <a:solidFill>
              <a:srgbClr val="FFFFFF">
                <a:lumMod val="50000"/>
              </a:srgbClr>
            </a:solidFill>
            <a:miter lim="800000"/>
          </a:ln>
        </c:spPr>
        <c:txPr>
          <a:bodyPr/>
          <a:lstStyle/>
          <a:p>
            <a:pPr>
              <a:defRPr sz="700" baseline="0">
                <a:latin typeface="Roboto" panose="02000000000000000000" pitchFamily="2" charset="0"/>
                <a:ea typeface="Roboto" panose="02000000000000000000" pitchFamily="2" charset="0"/>
              </a:defRPr>
            </a:pPr>
            <a:endParaRPr lang="es-ES"/>
          </a:p>
        </c:txPr>
        <c:crossAx val="485588584"/>
        <c:crosses val="autoZero"/>
        <c:crossBetween val="between"/>
        <c:majorUnit val="0.4"/>
      </c:valAx>
      <c:spPr>
        <a:noFill/>
        <a:ln>
          <a:noFill/>
        </a:ln>
      </c:spPr>
    </c:plotArea>
    <c:legend>
      <c:legendPos val="r"/>
      <c:legendEntry>
        <c:idx val="4"/>
        <c:txPr>
          <a:bodyPr/>
          <a:lstStyle/>
          <a:p>
            <a:pPr>
              <a:defRPr sz="70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310348151065428"/>
          <c:y val="6.8274709762110128E-2"/>
          <c:w val="0.21221067356602652"/>
          <c:h val="0.41660785384846638"/>
        </c:manualLayout>
      </c:layout>
      <c:overlay val="0"/>
      <c:txPr>
        <a:bodyPr/>
        <a:lstStyle/>
        <a:p>
          <a:pPr>
            <a:defRPr sz="700">
              <a:latin typeface="Roboto" panose="02000000000000000000" pitchFamily="2" charset="0"/>
              <a:ea typeface="Roboto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 paperSize="9"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15</xdr:col>
      <xdr:colOff>76964</xdr:colOff>
      <xdr:row>62</xdr:row>
      <xdr:rowOff>139248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8B22ADA-105F-4D4A-BD9C-DCF29B3B4662}"/>
            </a:ext>
          </a:extLst>
        </xdr:cNvPr>
        <xdr:cNvGrpSpPr/>
      </xdr:nvGrpSpPr>
      <xdr:grpSpPr>
        <a:xfrm>
          <a:off x="0" y="0"/>
          <a:ext cx="6026914" cy="9426123"/>
          <a:chOff x="0" y="0"/>
          <a:chExt cx="5987748" cy="8919100"/>
        </a:xfrm>
      </xdr:grpSpPr>
      <xdr:sp macro="" textlink="">
        <xdr:nvSpPr>
          <xdr:cNvPr id="4" name="120 Rectángulo">
            <a:extLst>
              <a:ext uri="{FF2B5EF4-FFF2-40B4-BE49-F238E27FC236}">
                <a16:creationId xmlns:a16="http://schemas.microsoft.com/office/drawing/2014/main" id="{7EAE4291-A983-8A13-E373-BF1E165386AD}"/>
              </a:ext>
            </a:extLst>
          </xdr:cNvPr>
          <xdr:cNvSpPr/>
        </xdr:nvSpPr>
        <xdr:spPr bwMode="auto">
          <a:xfrm>
            <a:off x="91709" y="0"/>
            <a:ext cx="4038376" cy="8918066"/>
          </a:xfrm>
          <a:prstGeom prst="rect">
            <a:avLst/>
          </a:prstGeom>
          <a:noFill/>
          <a:ln w="3175" cap="flat" cmpd="sng" algn="ctr">
            <a:solidFill>
              <a:srgbClr val="0070C0"/>
            </a:solidFill>
            <a:prstDash val="sysDash"/>
            <a:round/>
            <a:headEnd type="none" w="med" len="med"/>
            <a:tailEnd type="none" w="med" len="med"/>
          </a:ln>
          <a:effectLst/>
        </xdr:spPr>
        <xdr:txBody>
          <a:bodyPr vertOverflow="clip" wrap="none" lIns="0" tIns="0" rIns="0" bIns="0" rtlCol="0" anchor="t" anchorCtr="0" upright="1"/>
          <a:lstStyle/>
          <a:p>
            <a:pPr algn="ctr"/>
            <a:endParaRPr lang="en-US" sz="1100"/>
          </a:p>
        </xdr:txBody>
      </xdr:sp>
      <xdr:sp macro="" textlink="">
        <xdr:nvSpPr>
          <xdr:cNvPr id="6" name="121 Rectángulo">
            <a:extLst>
              <a:ext uri="{FF2B5EF4-FFF2-40B4-BE49-F238E27FC236}">
                <a16:creationId xmlns:a16="http://schemas.microsoft.com/office/drawing/2014/main" id="{BEFDF7CD-77F1-5C32-B5E3-299FC3EF224F}"/>
              </a:ext>
            </a:extLst>
          </xdr:cNvPr>
          <xdr:cNvSpPr/>
        </xdr:nvSpPr>
        <xdr:spPr bwMode="auto">
          <a:xfrm>
            <a:off x="0" y="0"/>
            <a:ext cx="5987748" cy="8919100"/>
          </a:xfrm>
          <a:prstGeom prst="rect">
            <a:avLst/>
          </a:prstGeom>
          <a:noFill/>
          <a:ln w="317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</xdr:spPr>
        <xdr:txBody>
          <a:bodyPr vertOverflow="clip" wrap="none" lIns="0" tIns="0" rIns="0" bIns="0" rtlCol="0" anchor="t" anchorCtr="0" upright="1"/>
          <a:lstStyle/>
          <a:p>
            <a:pPr algn="ctr"/>
            <a:endParaRPr lang="en-US" sz="1100"/>
          </a:p>
        </xdr:txBody>
      </xdr:sp>
      <xdr:grpSp>
        <xdr:nvGrpSpPr>
          <xdr:cNvPr id="7" name="250 Grupo">
            <a:extLst>
              <a:ext uri="{FF2B5EF4-FFF2-40B4-BE49-F238E27FC236}">
                <a16:creationId xmlns:a16="http://schemas.microsoft.com/office/drawing/2014/main" id="{9853AED6-E4C7-43B6-4213-9A8EBB9C54E7}"/>
              </a:ext>
            </a:extLst>
          </xdr:cNvPr>
          <xdr:cNvGrpSpPr/>
        </xdr:nvGrpSpPr>
        <xdr:grpSpPr>
          <a:xfrm>
            <a:off x="0" y="177105"/>
            <a:ext cx="5979849" cy="8616717"/>
            <a:chOff x="0" y="180975"/>
            <a:chExt cx="6165309" cy="8867774"/>
          </a:xfrm>
        </xdr:grpSpPr>
        <xdr:cxnSp macro="">
          <xdr:nvCxnSpPr>
            <xdr:cNvPr id="13" name="126 Conector recto">
              <a:extLst>
                <a:ext uri="{FF2B5EF4-FFF2-40B4-BE49-F238E27FC236}">
                  <a16:creationId xmlns:a16="http://schemas.microsoft.com/office/drawing/2014/main" id="{E9FB1446-852B-EE0E-628E-61258704FE2D}"/>
                </a:ext>
              </a:extLst>
            </xdr:cNvPr>
            <xdr:cNvCxnSpPr/>
          </xdr:nvCxnSpPr>
          <xdr:spPr bwMode="auto">
            <a:xfrm>
              <a:off x="0" y="43434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" name="127 Conector recto">
              <a:extLst>
                <a:ext uri="{FF2B5EF4-FFF2-40B4-BE49-F238E27FC236}">
                  <a16:creationId xmlns:a16="http://schemas.microsoft.com/office/drawing/2014/main" id="{5AA9B96A-ACA4-E73D-3853-871D43446FC5}"/>
                </a:ext>
              </a:extLst>
            </xdr:cNvPr>
            <xdr:cNvCxnSpPr/>
          </xdr:nvCxnSpPr>
          <xdr:spPr bwMode="auto">
            <a:xfrm>
              <a:off x="0" y="45243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5" name="128 Conector recto">
              <a:extLst>
                <a:ext uri="{FF2B5EF4-FFF2-40B4-BE49-F238E27FC236}">
                  <a16:creationId xmlns:a16="http://schemas.microsoft.com/office/drawing/2014/main" id="{6FD00EC0-D051-92E0-C18A-EB0F84D096D6}"/>
                </a:ext>
              </a:extLst>
            </xdr:cNvPr>
            <xdr:cNvCxnSpPr/>
          </xdr:nvCxnSpPr>
          <xdr:spPr bwMode="auto">
            <a:xfrm>
              <a:off x="0" y="47053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6" name="129 Conector recto">
              <a:extLst>
                <a:ext uri="{FF2B5EF4-FFF2-40B4-BE49-F238E27FC236}">
                  <a16:creationId xmlns:a16="http://schemas.microsoft.com/office/drawing/2014/main" id="{9EA514ED-F2AB-2B62-342F-3B50CD39FC37}"/>
                </a:ext>
              </a:extLst>
            </xdr:cNvPr>
            <xdr:cNvCxnSpPr/>
          </xdr:nvCxnSpPr>
          <xdr:spPr bwMode="auto">
            <a:xfrm>
              <a:off x="0" y="48863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7" name="130 Conector recto">
              <a:extLst>
                <a:ext uri="{FF2B5EF4-FFF2-40B4-BE49-F238E27FC236}">
                  <a16:creationId xmlns:a16="http://schemas.microsoft.com/office/drawing/2014/main" id="{E2597F7D-F9C2-2A6B-7538-91D508249525}"/>
                </a:ext>
              </a:extLst>
            </xdr:cNvPr>
            <xdr:cNvCxnSpPr/>
          </xdr:nvCxnSpPr>
          <xdr:spPr bwMode="auto">
            <a:xfrm>
              <a:off x="0" y="50673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8" name="133 Conector recto">
              <a:extLst>
                <a:ext uri="{FF2B5EF4-FFF2-40B4-BE49-F238E27FC236}">
                  <a16:creationId xmlns:a16="http://schemas.microsoft.com/office/drawing/2014/main" id="{9F7EB97F-27E3-4E0F-0300-B44ADC668026}"/>
                </a:ext>
              </a:extLst>
            </xdr:cNvPr>
            <xdr:cNvCxnSpPr/>
          </xdr:nvCxnSpPr>
          <xdr:spPr bwMode="auto">
            <a:xfrm>
              <a:off x="0" y="52482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9" name="134 Conector recto">
              <a:extLst>
                <a:ext uri="{FF2B5EF4-FFF2-40B4-BE49-F238E27FC236}">
                  <a16:creationId xmlns:a16="http://schemas.microsoft.com/office/drawing/2014/main" id="{D3C3DEBB-617E-8ED2-B2FD-92E461558E0F}"/>
                </a:ext>
              </a:extLst>
            </xdr:cNvPr>
            <xdr:cNvCxnSpPr/>
          </xdr:nvCxnSpPr>
          <xdr:spPr bwMode="auto">
            <a:xfrm>
              <a:off x="0" y="54292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0" name="135 Conector recto">
              <a:extLst>
                <a:ext uri="{FF2B5EF4-FFF2-40B4-BE49-F238E27FC236}">
                  <a16:creationId xmlns:a16="http://schemas.microsoft.com/office/drawing/2014/main" id="{FA51EC92-B0CC-237B-C826-2961E0984DEB}"/>
                </a:ext>
              </a:extLst>
            </xdr:cNvPr>
            <xdr:cNvCxnSpPr/>
          </xdr:nvCxnSpPr>
          <xdr:spPr bwMode="auto">
            <a:xfrm>
              <a:off x="0" y="56102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1" name="136 Conector recto">
              <a:extLst>
                <a:ext uri="{FF2B5EF4-FFF2-40B4-BE49-F238E27FC236}">
                  <a16:creationId xmlns:a16="http://schemas.microsoft.com/office/drawing/2014/main" id="{0C32ED71-D4FD-F47F-9E04-8C51AC951094}"/>
                </a:ext>
              </a:extLst>
            </xdr:cNvPr>
            <xdr:cNvCxnSpPr/>
          </xdr:nvCxnSpPr>
          <xdr:spPr bwMode="auto">
            <a:xfrm>
              <a:off x="0" y="57912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2" name="137 Conector recto">
              <a:extLst>
                <a:ext uri="{FF2B5EF4-FFF2-40B4-BE49-F238E27FC236}">
                  <a16:creationId xmlns:a16="http://schemas.microsoft.com/office/drawing/2014/main" id="{3EC6FB55-F704-2015-23C6-79745B2BB9AA}"/>
                </a:ext>
              </a:extLst>
            </xdr:cNvPr>
            <xdr:cNvCxnSpPr/>
          </xdr:nvCxnSpPr>
          <xdr:spPr bwMode="auto">
            <a:xfrm>
              <a:off x="0" y="59721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3" name="138 Conector recto">
              <a:extLst>
                <a:ext uri="{FF2B5EF4-FFF2-40B4-BE49-F238E27FC236}">
                  <a16:creationId xmlns:a16="http://schemas.microsoft.com/office/drawing/2014/main" id="{73A3E45E-15DF-1F99-4703-018D290AA6C7}"/>
                </a:ext>
              </a:extLst>
            </xdr:cNvPr>
            <xdr:cNvCxnSpPr/>
          </xdr:nvCxnSpPr>
          <xdr:spPr bwMode="auto">
            <a:xfrm>
              <a:off x="0" y="61531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4" name="139 Conector recto">
              <a:extLst>
                <a:ext uri="{FF2B5EF4-FFF2-40B4-BE49-F238E27FC236}">
                  <a16:creationId xmlns:a16="http://schemas.microsoft.com/office/drawing/2014/main" id="{5BD5A70F-B14C-98CE-B379-EC93865AC899}"/>
                </a:ext>
              </a:extLst>
            </xdr:cNvPr>
            <xdr:cNvCxnSpPr/>
          </xdr:nvCxnSpPr>
          <xdr:spPr bwMode="auto">
            <a:xfrm>
              <a:off x="0" y="63341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5" name="140 Conector recto">
              <a:extLst>
                <a:ext uri="{FF2B5EF4-FFF2-40B4-BE49-F238E27FC236}">
                  <a16:creationId xmlns:a16="http://schemas.microsoft.com/office/drawing/2014/main" id="{D455D484-6E0A-A1ED-0D9B-6F5FDCB4E992}"/>
                </a:ext>
              </a:extLst>
            </xdr:cNvPr>
            <xdr:cNvCxnSpPr/>
          </xdr:nvCxnSpPr>
          <xdr:spPr bwMode="auto">
            <a:xfrm>
              <a:off x="0" y="65151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6" name="141 Conector recto">
              <a:extLst>
                <a:ext uri="{FF2B5EF4-FFF2-40B4-BE49-F238E27FC236}">
                  <a16:creationId xmlns:a16="http://schemas.microsoft.com/office/drawing/2014/main" id="{813313BC-4715-2CA7-96EA-DA201242D23A}"/>
                </a:ext>
              </a:extLst>
            </xdr:cNvPr>
            <xdr:cNvCxnSpPr/>
          </xdr:nvCxnSpPr>
          <xdr:spPr bwMode="auto">
            <a:xfrm>
              <a:off x="0" y="66960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7" name="142 Conector recto">
              <a:extLst>
                <a:ext uri="{FF2B5EF4-FFF2-40B4-BE49-F238E27FC236}">
                  <a16:creationId xmlns:a16="http://schemas.microsoft.com/office/drawing/2014/main" id="{DE973DD6-D361-1D71-1829-900E2C2DAB2D}"/>
                </a:ext>
              </a:extLst>
            </xdr:cNvPr>
            <xdr:cNvCxnSpPr/>
          </xdr:nvCxnSpPr>
          <xdr:spPr bwMode="auto">
            <a:xfrm>
              <a:off x="0" y="68770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8" name="143 Conector recto">
              <a:extLst>
                <a:ext uri="{FF2B5EF4-FFF2-40B4-BE49-F238E27FC236}">
                  <a16:creationId xmlns:a16="http://schemas.microsoft.com/office/drawing/2014/main" id="{02F45203-7603-329D-3EEF-74F0F086B0A1}"/>
                </a:ext>
              </a:extLst>
            </xdr:cNvPr>
            <xdr:cNvCxnSpPr/>
          </xdr:nvCxnSpPr>
          <xdr:spPr bwMode="auto">
            <a:xfrm>
              <a:off x="0" y="70580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29" name="144 Conector recto">
              <a:extLst>
                <a:ext uri="{FF2B5EF4-FFF2-40B4-BE49-F238E27FC236}">
                  <a16:creationId xmlns:a16="http://schemas.microsoft.com/office/drawing/2014/main" id="{9792CB45-1843-8311-B15D-934BEE4D6D41}"/>
                </a:ext>
              </a:extLst>
            </xdr:cNvPr>
            <xdr:cNvCxnSpPr/>
          </xdr:nvCxnSpPr>
          <xdr:spPr bwMode="auto">
            <a:xfrm>
              <a:off x="0" y="72390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0" name="145 Conector recto">
              <a:extLst>
                <a:ext uri="{FF2B5EF4-FFF2-40B4-BE49-F238E27FC236}">
                  <a16:creationId xmlns:a16="http://schemas.microsoft.com/office/drawing/2014/main" id="{F5C8693D-A6FE-7BAB-9C9A-DAE738ACA53F}"/>
                </a:ext>
              </a:extLst>
            </xdr:cNvPr>
            <xdr:cNvCxnSpPr/>
          </xdr:nvCxnSpPr>
          <xdr:spPr bwMode="auto">
            <a:xfrm>
              <a:off x="0" y="74199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1" name="146 Conector recto">
              <a:extLst>
                <a:ext uri="{FF2B5EF4-FFF2-40B4-BE49-F238E27FC236}">
                  <a16:creationId xmlns:a16="http://schemas.microsoft.com/office/drawing/2014/main" id="{819598D9-4FD7-9F1B-39F5-E69D88A0BEAF}"/>
                </a:ext>
              </a:extLst>
            </xdr:cNvPr>
            <xdr:cNvCxnSpPr/>
          </xdr:nvCxnSpPr>
          <xdr:spPr bwMode="auto">
            <a:xfrm>
              <a:off x="0" y="76009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2" name="147 Conector recto">
              <a:extLst>
                <a:ext uri="{FF2B5EF4-FFF2-40B4-BE49-F238E27FC236}">
                  <a16:creationId xmlns:a16="http://schemas.microsoft.com/office/drawing/2014/main" id="{8EDE002B-469E-5EC6-4E8F-A6AA54A771D4}"/>
                </a:ext>
              </a:extLst>
            </xdr:cNvPr>
            <xdr:cNvCxnSpPr/>
          </xdr:nvCxnSpPr>
          <xdr:spPr bwMode="auto">
            <a:xfrm>
              <a:off x="0" y="77819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3" name="148 Conector recto">
              <a:extLst>
                <a:ext uri="{FF2B5EF4-FFF2-40B4-BE49-F238E27FC236}">
                  <a16:creationId xmlns:a16="http://schemas.microsoft.com/office/drawing/2014/main" id="{6DABE2A8-35A1-B98F-B519-5136976F557B}"/>
                </a:ext>
              </a:extLst>
            </xdr:cNvPr>
            <xdr:cNvCxnSpPr/>
          </xdr:nvCxnSpPr>
          <xdr:spPr bwMode="auto">
            <a:xfrm>
              <a:off x="0" y="79629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4" name="149 Conector recto">
              <a:extLst>
                <a:ext uri="{FF2B5EF4-FFF2-40B4-BE49-F238E27FC236}">
                  <a16:creationId xmlns:a16="http://schemas.microsoft.com/office/drawing/2014/main" id="{268955A0-83D5-09D5-1AFF-173AFD12C940}"/>
                </a:ext>
              </a:extLst>
            </xdr:cNvPr>
            <xdr:cNvCxnSpPr/>
          </xdr:nvCxnSpPr>
          <xdr:spPr bwMode="auto">
            <a:xfrm>
              <a:off x="0" y="81438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5" name="150 Conector recto">
              <a:extLst>
                <a:ext uri="{FF2B5EF4-FFF2-40B4-BE49-F238E27FC236}">
                  <a16:creationId xmlns:a16="http://schemas.microsoft.com/office/drawing/2014/main" id="{B824EFBF-1647-DB76-8F5B-DD12268EAD4B}"/>
                </a:ext>
              </a:extLst>
            </xdr:cNvPr>
            <xdr:cNvCxnSpPr/>
          </xdr:nvCxnSpPr>
          <xdr:spPr bwMode="auto">
            <a:xfrm>
              <a:off x="0" y="83248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6" name="151 Conector recto">
              <a:extLst>
                <a:ext uri="{FF2B5EF4-FFF2-40B4-BE49-F238E27FC236}">
                  <a16:creationId xmlns:a16="http://schemas.microsoft.com/office/drawing/2014/main" id="{937CB4C6-CE00-87E4-375C-58098B0526A1}"/>
                </a:ext>
              </a:extLst>
            </xdr:cNvPr>
            <xdr:cNvCxnSpPr/>
          </xdr:nvCxnSpPr>
          <xdr:spPr bwMode="auto">
            <a:xfrm>
              <a:off x="0" y="85058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7" name="152 Conector recto">
              <a:extLst>
                <a:ext uri="{FF2B5EF4-FFF2-40B4-BE49-F238E27FC236}">
                  <a16:creationId xmlns:a16="http://schemas.microsoft.com/office/drawing/2014/main" id="{84F093A0-E062-CDE8-B00D-463375A454FB}"/>
                </a:ext>
              </a:extLst>
            </xdr:cNvPr>
            <xdr:cNvCxnSpPr/>
          </xdr:nvCxnSpPr>
          <xdr:spPr bwMode="auto">
            <a:xfrm>
              <a:off x="0" y="86868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8" name="153 Conector recto">
              <a:extLst>
                <a:ext uri="{FF2B5EF4-FFF2-40B4-BE49-F238E27FC236}">
                  <a16:creationId xmlns:a16="http://schemas.microsoft.com/office/drawing/2014/main" id="{AA036BEB-A293-E865-3B71-86C9F042010F}"/>
                </a:ext>
              </a:extLst>
            </xdr:cNvPr>
            <xdr:cNvCxnSpPr/>
          </xdr:nvCxnSpPr>
          <xdr:spPr bwMode="auto">
            <a:xfrm>
              <a:off x="0" y="88677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39" name="154 Conector recto">
              <a:extLst>
                <a:ext uri="{FF2B5EF4-FFF2-40B4-BE49-F238E27FC236}">
                  <a16:creationId xmlns:a16="http://schemas.microsoft.com/office/drawing/2014/main" id="{1127B426-6CA1-E6DD-9BB3-7C3E6CA1F57D}"/>
                </a:ext>
              </a:extLst>
            </xdr:cNvPr>
            <xdr:cNvCxnSpPr/>
          </xdr:nvCxnSpPr>
          <xdr:spPr bwMode="auto">
            <a:xfrm>
              <a:off x="0" y="9048749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0" name="155 Conector recto">
              <a:extLst>
                <a:ext uri="{FF2B5EF4-FFF2-40B4-BE49-F238E27FC236}">
                  <a16:creationId xmlns:a16="http://schemas.microsoft.com/office/drawing/2014/main" id="{B5CD1EE9-AB75-21E3-000B-96512A10251B}"/>
                </a:ext>
              </a:extLst>
            </xdr:cNvPr>
            <xdr:cNvCxnSpPr/>
          </xdr:nvCxnSpPr>
          <xdr:spPr bwMode="auto">
            <a:xfrm>
              <a:off x="0" y="27146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1" name="156 Conector recto">
              <a:extLst>
                <a:ext uri="{FF2B5EF4-FFF2-40B4-BE49-F238E27FC236}">
                  <a16:creationId xmlns:a16="http://schemas.microsoft.com/office/drawing/2014/main" id="{7F9B3F22-F5E2-FE64-05F3-B262EF852030}"/>
                </a:ext>
              </a:extLst>
            </xdr:cNvPr>
            <xdr:cNvCxnSpPr/>
          </xdr:nvCxnSpPr>
          <xdr:spPr bwMode="auto">
            <a:xfrm>
              <a:off x="0" y="28956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2" name="157 Conector recto">
              <a:extLst>
                <a:ext uri="{FF2B5EF4-FFF2-40B4-BE49-F238E27FC236}">
                  <a16:creationId xmlns:a16="http://schemas.microsoft.com/office/drawing/2014/main" id="{9535DCF9-5484-1CCD-31AA-5B9D5712E62F}"/>
                </a:ext>
              </a:extLst>
            </xdr:cNvPr>
            <xdr:cNvCxnSpPr/>
          </xdr:nvCxnSpPr>
          <xdr:spPr bwMode="auto">
            <a:xfrm>
              <a:off x="0" y="30765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3" name="158 Conector recto">
              <a:extLst>
                <a:ext uri="{FF2B5EF4-FFF2-40B4-BE49-F238E27FC236}">
                  <a16:creationId xmlns:a16="http://schemas.microsoft.com/office/drawing/2014/main" id="{7C286D58-C72B-5090-6E03-91D05BEB571A}"/>
                </a:ext>
              </a:extLst>
            </xdr:cNvPr>
            <xdr:cNvCxnSpPr/>
          </xdr:nvCxnSpPr>
          <xdr:spPr bwMode="auto">
            <a:xfrm>
              <a:off x="0" y="32575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4" name="159 Conector recto">
              <a:extLst>
                <a:ext uri="{FF2B5EF4-FFF2-40B4-BE49-F238E27FC236}">
                  <a16:creationId xmlns:a16="http://schemas.microsoft.com/office/drawing/2014/main" id="{5FD0892B-B4A5-55B0-958D-B260E41FA17C}"/>
                </a:ext>
              </a:extLst>
            </xdr:cNvPr>
            <xdr:cNvCxnSpPr/>
          </xdr:nvCxnSpPr>
          <xdr:spPr bwMode="auto">
            <a:xfrm>
              <a:off x="0" y="34385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5" name="160 Conector recto">
              <a:extLst>
                <a:ext uri="{FF2B5EF4-FFF2-40B4-BE49-F238E27FC236}">
                  <a16:creationId xmlns:a16="http://schemas.microsoft.com/office/drawing/2014/main" id="{9FF3713C-FEF5-4BDC-F08E-347E0410E34A}"/>
                </a:ext>
              </a:extLst>
            </xdr:cNvPr>
            <xdr:cNvCxnSpPr/>
          </xdr:nvCxnSpPr>
          <xdr:spPr bwMode="auto">
            <a:xfrm>
              <a:off x="0" y="36195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6" name="161 Conector recto">
              <a:extLst>
                <a:ext uri="{FF2B5EF4-FFF2-40B4-BE49-F238E27FC236}">
                  <a16:creationId xmlns:a16="http://schemas.microsoft.com/office/drawing/2014/main" id="{ED14CB37-1F67-2C0A-94F2-75BBE763103A}"/>
                </a:ext>
              </a:extLst>
            </xdr:cNvPr>
            <xdr:cNvCxnSpPr/>
          </xdr:nvCxnSpPr>
          <xdr:spPr bwMode="auto">
            <a:xfrm>
              <a:off x="0" y="38004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7" name="162 Conector recto">
              <a:extLst>
                <a:ext uri="{FF2B5EF4-FFF2-40B4-BE49-F238E27FC236}">
                  <a16:creationId xmlns:a16="http://schemas.microsoft.com/office/drawing/2014/main" id="{924D0F28-AE1D-E6C6-584A-32EB57AAAAB1}"/>
                </a:ext>
              </a:extLst>
            </xdr:cNvPr>
            <xdr:cNvCxnSpPr/>
          </xdr:nvCxnSpPr>
          <xdr:spPr bwMode="auto">
            <a:xfrm>
              <a:off x="0" y="39814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8" name="163 Conector recto">
              <a:extLst>
                <a:ext uri="{FF2B5EF4-FFF2-40B4-BE49-F238E27FC236}">
                  <a16:creationId xmlns:a16="http://schemas.microsoft.com/office/drawing/2014/main" id="{B07EA226-6BE4-E08E-478F-AB72BEAC3CC5}"/>
                </a:ext>
              </a:extLst>
            </xdr:cNvPr>
            <xdr:cNvCxnSpPr/>
          </xdr:nvCxnSpPr>
          <xdr:spPr bwMode="auto">
            <a:xfrm>
              <a:off x="0" y="41624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49" name="164 Conector recto">
              <a:extLst>
                <a:ext uri="{FF2B5EF4-FFF2-40B4-BE49-F238E27FC236}">
                  <a16:creationId xmlns:a16="http://schemas.microsoft.com/office/drawing/2014/main" id="{85F2AF32-44DE-03A5-371A-3636AE695F77}"/>
                </a:ext>
              </a:extLst>
            </xdr:cNvPr>
            <xdr:cNvCxnSpPr/>
          </xdr:nvCxnSpPr>
          <xdr:spPr bwMode="auto">
            <a:xfrm>
              <a:off x="0" y="10858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0" name="165 Conector recto">
              <a:extLst>
                <a:ext uri="{FF2B5EF4-FFF2-40B4-BE49-F238E27FC236}">
                  <a16:creationId xmlns:a16="http://schemas.microsoft.com/office/drawing/2014/main" id="{0214F8F3-AE19-F5A3-EE03-E49C48855BBD}"/>
                </a:ext>
              </a:extLst>
            </xdr:cNvPr>
            <xdr:cNvCxnSpPr/>
          </xdr:nvCxnSpPr>
          <xdr:spPr bwMode="auto">
            <a:xfrm>
              <a:off x="0" y="12668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1" name="166 Conector recto">
              <a:extLst>
                <a:ext uri="{FF2B5EF4-FFF2-40B4-BE49-F238E27FC236}">
                  <a16:creationId xmlns:a16="http://schemas.microsoft.com/office/drawing/2014/main" id="{B0B00D74-1606-AEBA-D67F-A8261FB8584D}"/>
                </a:ext>
              </a:extLst>
            </xdr:cNvPr>
            <xdr:cNvCxnSpPr/>
          </xdr:nvCxnSpPr>
          <xdr:spPr bwMode="auto">
            <a:xfrm>
              <a:off x="0" y="14478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2" name="167 Conector recto">
              <a:extLst>
                <a:ext uri="{FF2B5EF4-FFF2-40B4-BE49-F238E27FC236}">
                  <a16:creationId xmlns:a16="http://schemas.microsoft.com/office/drawing/2014/main" id="{D451A08D-F01A-AEB8-8A19-07EF67A0C0D3}"/>
                </a:ext>
              </a:extLst>
            </xdr:cNvPr>
            <xdr:cNvCxnSpPr/>
          </xdr:nvCxnSpPr>
          <xdr:spPr bwMode="auto">
            <a:xfrm>
              <a:off x="0" y="16287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3" name="168 Conector recto">
              <a:extLst>
                <a:ext uri="{FF2B5EF4-FFF2-40B4-BE49-F238E27FC236}">
                  <a16:creationId xmlns:a16="http://schemas.microsoft.com/office/drawing/2014/main" id="{C60C0450-C9B0-F367-A5F3-777C7D63407D}"/>
                </a:ext>
              </a:extLst>
            </xdr:cNvPr>
            <xdr:cNvCxnSpPr/>
          </xdr:nvCxnSpPr>
          <xdr:spPr bwMode="auto">
            <a:xfrm>
              <a:off x="0" y="18097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4" name="169 Conector recto">
              <a:extLst>
                <a:ext uri="{FF2B5EF4-FFF2-40B4-BE49-F238E27FC236}">
                  <a16:creationId xmlns:a16="http://schemas.microsoft.com/office/drawing/2014/main" id="{A2AB93D5-0DFA-ABA8-D151-276A8CA069DD}"/>
                </a:ext>
              </a:extLst>
            </xdr:cNvPr>
            <xdr:cNvCxnSpPr/>
          </xdr:nvCxnSpPr>
          <xdr:spPr bwMode="auto">
            <a:xfrm>
              <a:off x="0" y="19907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5" name="170 Conector recto">
              <a:extLst>
                <a:ext uri="{FF2B5EF4-FFF2-40B4-BE49-F238E27FC236}">
                  <a16:creationId xmlns:a16="http://schemas.microsoft.com/office/drawing/2014/main" id="{5925C7D3-F90C-9BA1-EA0E-8793C9181FD3}"/>
                </a:ext>
              </a:extLst>
            </xdr:cNvPr>
            <xdr:cNvCxnSpPr/>
          </xdr:nvCxnSpPr>
          <xdr:spPr bwMode="auto">
            <a:xfrm>
              <a:off x="0" y="21717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6" name="171 Conector recto">
              <a:extLst>
                <a:ext uri="{FF2B5EF4-FFF2-40B4-BE49-F238E27FC236}">
                  <a16:creationId xmlns:a16="http://schemas.microsoft.com/office/drawing/2014/main" id="{8CC617E1-3DB9-EB06-096B-819179B233E9}"/>
                </a:ext>
              </a:extLst>
            </xdr:cNvPr>
            <xdr:cNvCxnSpPr/>
          </xdr:nvCxnSpPr>
          <xdr:spPr bwMode="auto">
            <a:xfrm>
              <a:off x="0" y="23526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7" name="172 Conector recto">
              <a:extLst>
                <a:ext uri="{FF2B5EF4-FFF2-40B4-BE49-F238E27FC236}">
                  <a16:creationId xmlns:a16="http://schemas.microsoft.com/office/drawing/2014/main" id="{3D1C2ACE-2728-6BB9-B04F-760143D64311}"/>
                </a:ext>
              </a:extLst>
            </xdr:cNvPr>
            <xdr:cNvCxnSpPr/>
          </xdr:nvCxnSpPr>
          <xdr:spPr bwMode="auto">
            <a:xfrm>
              <a:off x="0" y="25336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8" name="173 Conector recto">
              <a:extLst>
                <a:ext uri="{FF2B5EF4-FFF2-40B4-BE49-F238E27FC236}">
                  <a16:creationId xmlns:a16="http://schemas.microsoft.com/office/drawing/2014/main" id="{6D5231A8-0D50-0475-D098-884337A8FB4B}"/>
                </a:ext>
              </a:extLst>
            </xdr:cNvPr>
            <xdr:cNvCxnSpPr/>
          </xdr:nvCxnSpPr>
          <xdr:spPr bwMode="auto">
            <a:xfrm>
              <a:off x="0" y="72390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59" name="174 Conector recto">
              <a:extLst>
                <a:ext uri="{FF2B5EF4-FFF2-40B4-BE49-F238E27FC236}">
                  <a16:creationId xmlns:a16="http://schemas.microsoft.com/office/drawing/2014/main" id="{539FA0ED-83A1-E627-7579-E72737ECFAA5}"/>
                </a:ext>
              </a:extLst>
            </xdr:cNvPr>
            <xdr:cNvCxnSpPr/>
          </xdr:nvCxnSpPr>
          <xdr:spPr bwMode="auto">
            <a:xfrm>
              <a:off x="0" y="9048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60" name="175 Conector recto">
              <a:extLst>
                <a:ext uri="{FF2B5EF4-FFF2-40B4-BE49-F238E27FC236}">
                  <a16:creationId xmlns:a16="http://schemas.microsoft.com/office/drawing/2014/main" id="{BC8EF078-F1E1-7729-83AB-575E462920A7}"/>
                </a:ext>
              </a:extLst>
            </xdr:cNvPr>
            <xdr:cNvCxnSpPr/>
          </xdr:nvCxnSpPr>
          <xdr:spPr bwMode="auto">
            <a:xfrm>
              <a:off x="0" y="361950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61" name="176 Conector recto">
              <a:extLst>
                <a:ext uri="{FF2B5EF4-FFF2-40B4-BE49-F238E27FC236}">
                  <a16:creationId xmlns:a16="http://schemas.microsoft.com/office/drawing/2014/main" id="{D41F0738-4311-3E2D-05D5-E2E3BCB040CD}"/>
                </a:ext>
              </a:extLst>
            </xdr:cNvPr>
            <xdr:cNvCxnSpPr/>
          </xdr:nvCxnSpPr>
          <xdr:spPr bwMode="auto">
            <a:xfrm>
              <a:off x="0" y="54292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62" name="177 Conector recto">
              <a:extLst>
                <a:ext uri="{FF2B5EF4-FFF2-40B4-BE49-F238E27FC236}">
                  <a16:creationId xmlns:a16="http://schemas.microsoft.com/office/drawing/2014/main" id="{3FD813F0-B776-C771-8721-43C2DDE67155}"/>
                </a:ext>
              </a:extLst>
            </xdr:cNvPr>
            <xdr:cNvCxnSpPr/>
          </xdr:nvCxnSpPr>
          <xdr:spPr bwMode="auto">
            <a:xfrm>
              <a:off x="0" y="180975"/>
              <a:ext cx="6165309" cy="0"/>
            </a:xfrm>
            <a:prstGeom prst="line">
              <a:avLst/>
            </a:prstGeom>
            <a:solidFill>
              <a:srgbClr val="C0C0C0"/>
            </a:solidFill>
            <a:ln w="317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12" name="124 Rectángulo">
            <a:extLst>
              <a:ext uri="{FF2B5EF4-FFF2-40B4-BE49-F238E27FC236}">
                <a16:creationId xmlns:a16="http://schemas.microsoft.com/office/drawing/2014/main" id="{587F634D-94A3-5546-C51B-BA4EE8A6FC46}"/>
              </a:ext>
            </a:extLst>
          </xdr:cNvPr>
          <xdr:cNvSpPr/>
        </xdr:nvSpPr>
        <xdr:spPr bwMode="auto">
          <a:xfrm>
            <a:off x="4365170" y="0"/>
            <a:ext cx="1525147" cy="8918066"/>
          </a:xfrm>
          <a:prstGeom prst="rect">
            <a:avLst/>
          </a:prstGeom>
          <a:noFill/>
          <a:ln w="3175" cap="flat" cmpd="sng" algn="ctr">
            <a:solidFill>
              <a:srgbClr val="0070C0"/>
            </a:solidFill>
            <a:prstDash val="sysDash"/>
            <a:round/>
            <a:headEnd type="none" w="med" len="med"/>
            <a:tailEnd type="none" w="med" len="med"/>
          </a:ln>
          <a:effectLst/>
        </xdr:spPr>
        <xdr:txBody>
          <a:bodyPr vertOverflow="clip" wrap="none" lIns="0" tIns="0" rIns="0" bIns="0" rtlCol="0" anchor="t" anchorCtr="0" upright="1"/>
          <a:lstStyle/>
          <a:p>
            <a:pPr algn="ctr"/>
            <a:endParaRPr lang="en-US" sz="1100"/>
          </a:p>
        </xdr:txBody>
      </xdr:sp>
    </xdr:grpSp>
    <xdr:clientData fPrintsWithSheet="0"/>
  </xdr:twoCellAnchor>
  <xdr:twoCellAnchor>
    <xdr:from>
      <xdr:col>0</xdr:col>
      <xdr:colOff>0</xdr:colOff>
      <xdr:row>0</xdr:row>
      <xdr:rowOff>0</xdr:rowOff>
    </xdr:from>
    <xdr:to>
      <xdr:col>15</xdr:col>
      <xdr:colOff>77010</xdr:colOff>
      <xdr:row>2</xdr:row>
      <xdr:rowOff>141059</xdr:rowOff>
    </xdr:to>
    <xdr:sp macro="" textlink="">
      <xdr:nvSpPr>
        <xdr:cNvPr id="122" name="Rectángulo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5962244" cy="424782"/>
        </a:xfrm>
        <a:prstGeom prst="rect">
          <a:avLst/>
        </a:prstGeom>
        <a:solidFill>
          <a:srgbClr val="B3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236027</xdr:colOff>
      <xdr:row>1</xdr:row>
      <xdr:rowOff>114025</xdr:rowOff>
    </xdr:to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1024764" cy="254393"/>
        </a:xfrm>
        <a:prstGeom prst="rect">
          <a:avLst/>
        </a:prstGeom>
        <a:noFill/>
        <a:ln w="1270">
          <a:noFill/>
          <a:prstDash val="sysDot"/>
          <a:miter lim="800000"/>
          <a:headEnd/>
          <a:tailEnd/>
        </a:ln>
      </xdr:spPr>
      <xdr:txBody>
        <a:bodyPr vertOverflow="clip" wrap="square" lIns="90000" tIns="72000" rIns="0" bIns="0" anchor="t" upright="1"/>
        <a:lstStyle/>
        <a:p>
          <a:pPr marL="0" indent="0" algn="l" rtl="0">
            <a:defRPr sz="1000"/>
          </a:pPr>
          <a:r>
            <a:rPr lang="es-ES" sz="700" b="0" i="0" u="none" strike="noStrike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Gráfico 3.1</a:t>
          </a:r>
        </a:p>
      </xdr:txBody>
    </xdr:sp>
    <xdr:clientData/>
  </xdr:twoCellAnchor>
  <xdr:twoCellAnchor>
    <xdr:from>
      <xdr:col>0</xdr:col>
      <xdr:colOff>0</xdr:colOff>
      <xdr:row>1</xdr:row>
      <xdr:rowOff>48087</xdr:rowOff>
    </xdr:from>
    <xdr:to>
      <xdr:col>14</xdr:col>
      <xdr:colOff>439142</xdr:colOff>
      <xdr:row>3</xdr:row>
      <xdr:rowOff>82520</xdr:rowOff>
    </xdr:to>
    <xdr:sp macro="" textlink="">
      <xdr:nvSpPr>
        <xdr:cNvPr id="124" name="Rectángulo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187235"/>
          <a:ext cx="6005055" cy="312728"/>
        </a:xfrm>
        <a:prstGeom prst="rect">
          <a:avLst/>
        </a:prstGeom>
        <a:noFill/>
        <a:ln w="6350">
          <a:noFill/>
          <a:prstDash val="sysDot"/>
          <a:miter lim="800000"/>
          <a:headEnd/>
          <a:tailEnd/>
        </a:ln>
      </xdr:spPr>
      <xdr:txBody>
        <a:bodyPr vertOverflow="clip" wrap="square" lIns="90000" tIns="0" rIns="0" bIns="0" anchor="t" upright="1"/>
        <a:lstStyle/>
        <a:p>
          <a:pPr marL="0" indent="0" algn="l" rtl="0">
            <a:defRPr sz="1000"/>
          </a:pPr>
          <a:r>
            <a:rPr lang="es-ES" sz="850" b="0" i="0" u="none" strike="noStrike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+mn-cs"/>
            </a:rPr>
            <a:t>La</a:t>
          </a:r>
          <a:r>
            <a:rPr lang="es-ES" sz="850" b="0" i="0" u="none" strike="noStrike" baseline="0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+mn-cs"/>
            </a:rPr>
            <a:t> brecha de crecimiento de la productividad con la UEM se reduce a partir de 2013</a:t>
          </a:r>
          <a:endParaRPr lang="es-ES" sz="850" b="0" i="0" u="none" strike="noStrike">
            <a:solidFill>
              <a:schemeClr val="tx1"/>
            </a:solidFill>
            <a:latin typeface="Roboto Medium" panose="02000000000000000000" pitchFamily="2" charset="0"/>
            <a:ea typeface="Roboto Medium" panose="02000000000000000000" pitchFamily="2" charset="0"/>
            <a:cs typeface="+mn-cs"/>
          </a:endParaRPr>
        </a:p>
      </xdr:txBody>
    </xdr:sp>
    <xdr:clientData/>
  </xdr:twoCellAnchor>
  <xdr:twoCellAnchor>
    <xdr:from>
      <xdr:col>0</xdr:col>
      <xdr:colOff>0</xdr:colOff>
      <xdr:row>35</xdr:row>
      <xdr:rowOff>61774</xdr:rowOff>
    </xdr:from>
    <xdr:to>
      <xdr:col>15</xdr:col>
      <xdr:colOff>36596</xdr:colOff>
      <xdr:row>42</xdr:row>
      <xdr:rowOff>37084</xdr:rowOff>
    </xdr:to>
    <xdr:sp macro="" textlink="" fLocksText="0">
      <xdr:nvSpPr>
        <xdr:cNvPr id="5" name="Rectángulo 4">
          <a:extLst>
            <a:ext uri="{FF2B5EF4-FFF2-40B4-BE49-F238E27FC236}">
              <a16:creationId xmlns:a16="http://schemas.microsoft.com/office/drawing/2014/main" id="{0F293619-F09E-4B8B-8207-7A41C56973AF}"/>
            </a:ext>
          </a:extLst>
        </xdr:cNvPr>
        <xdr:cNvSpPr/>
      </xdr:nvSpPr>
      <xdr:spPr>
        <a:xfrm>
          <a:off x="0" y="5330725"/>
          <a:ext cx="5937450" cy="983566"/>
        </a:xfrm>
        <a:prstGeom prst="rect">
          <a:avLst/>
        </a:prstGeom>
        <a:noFill/>
        <a:ln w="5080">
          <a:noFill/>
          <a:miter lim="800000"/>
          <a:headEnd/>
          <a:tailEnd/>
        </a:ln>
        <a:effectLst/>
      </xdr:spPr>
      <xdr:txBody>
        <a:bodyPr vertOverflow="clip" wrap="square" lIns="0" tIns="93600" rIns="0" bIns="0" anchor="t" upright="1"/>
        <a:lstStyle/>
        <a:p>
          <a:pPr marL="0" indent="0" algn="l" rtl="0">
            <a:defRPr sz="1000"/>
          </a:pPr>
          <a:r>
            <a:rPr lang="es-ES" sz="700" b="0" i="0" u="none" strike="noStrike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FUENTE: </a:t>
          </a:r>
          <a:r>
            <a:rPr lang="es-ES" sz="700" b="0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Elaboración propia a partir de Eurostat, Ivie, LFS, ESS, Comisión Europea y EUROPROD, siguiendo la metodología de  Comin, Quintana, Schmitz y Trigari (2025).</a:t>
          </a:r>
          <a:r>
            <a:rPr lang="es-ES" sz="700" b="0" i="0" u="none" strike="noStrike">
              <a:solidFill>
                <a:schemeClr val="tx1"/>
              </a:solidFill>
              <a:latin typeface="BdE Neue Helvetica 45 Light"/>
              <a:ea typeface="+mn-ea"/>
              <a:cs typeface="Arial"/>
            </a:rPr>
            <a:t>
</a:t>
          </a:r>
          <a:r>
            <a:rPr lang="es-ES" sz="700" b="0" i="0" u="none" strike="noStrike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a. </a:t>
          </a:r>
          <a:r>
            <a:rPr lang="es-ES" sz="700" b="0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«Resto UEM» incluye Alemania, Francia, Italia y Países Bajos. Los resultados se refieren a la economía de mercado, por lo que se excluyen los siguientes sectores: agricultura (A), actividades inmobiliarias (L), Administración Pública (O), educación (P) y sanidad (Q).</a:t>
          </a:r>
          <a:r>
            <a:rPr lang="es-ES" sz="700" b="1" i="0" u="none" strike="noStrike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b. </a:t>
          </a:r>
          <a:r>
            <a:rPr lang="es-ES" sz="700" b="0" i="0" u="none" strike="noStrike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Incluye utilización de la capacidad productiva, calidad del trabajo y calidad del capital. </a:t>
          </a:r>
          <a:r>
            <a:rPr lang="es-ES" sz="700" b="0" i="0" u="none" strike="noStrike">
              <a:solidFill>
                <a:schemeClr val="tx1"/>
              </a:solidFill>
              <a:latin typeface="BdE Neue Helvetica 45 Light"/>
              <a:ea typeface="+mn-ea"/>
              <a:cs typeface="Arial"/>
            </a:rPr>
            <a:t>
</a:t>
          </a:r>
          <a:endParaRPr lang="es-ES" sz="700" b="0" i="0" u="none" strike="noStrike">
            <a:solidFill>
              <a:schemeClr val="tx1"/>
            </a:solidFill>
            <a:latin typeface="Roboto Light" panose="02000000000000000000" pitchFamily="2" charset="0"/>
            <a:ea typeface="Roboto Light" panose="02000000000000000000" pitchFamily="2" charset="0"/>
            <a:cs typeface="Arial"/>
          </a:endParaRPr>
        </a:p>
      </xdr:txBody>
    </xdr:sp>
    <xdr:clientData fLocksWithSheet="0"/>
  </xdr:twoCellAnchor>
  <xdr:twoCellAnchor editAs="absolute">
    <xdr:from>
      <xdr:col>0</xdr:col>
      <xdr:colOff>27566</xdr:colOff>
      <xdr:row>19</xdr:row>
      <xdr:rowOff>81959</xdr:rowOff>
    </xdr:from>
    <xdr:to>
      <xdr:col>15</xdr:col>
      <xdr:colOff>169647</xdr:colOff>
      <xdr:row>35</xdr:row>
      <xdr:rowOff>101203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FB348AC-9FC0-4FA0-B921-B7638ED18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128823</xdr:rowOff>
    </xdr:from>
    <xdr:to>
      <xdr:col>5</xdr:col>
      <xdr:colOff>164098</xdr:colOff>
      <xdr:row>19</xdr:row>
      <xdr:rowOff>129037</xdr:rowOff>
    </xdr:to>
    <xdr:sp macro="" textlink="Datos!B2">
      <xdr:nvSpPr>
        <xdr:cNvPr id="9" name="1 CuadroTexto">
          <a:extLst>
            <a:ext uri="{FF2B5EF4-FFF2-40B4-BE49-F238E27FC236}">
              <a16:creationId xmlns:a16="http://schemas.microsoft.com/office/drawing/2014/main" id="{562EDF57-04CF-4333-B299-32776D2DD7CF}"/>
            </a:ext>
          </a:extLst>
        </xdr:cNvPr>
        <xdr:cNvSpPr txBox="1"/>
      </xdr:nvSpPr>
      <xdr:spPr>
        <a:xfrm>
          <a:off x="0" y="2771504"/>
          <a:ext cx="2109630" cy="283937"/>
        </a:xfrm>
        <a:prstGeom prst="rect">
          <a:avLst/>
        </a:prstGeom>
        <a:noFill/>
      </xdr:spPr>
      <xdr:txBody>
        <a:bodyPr wrap="square" tIns="108000" rIns="0" bIns="0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fld id="{48F72F71-5684-4235-AA86-17C94234D492}" type="TxLink">
            <a:rPr lang="en-US" sz="800" b="0" i="0" u="none" strike="noStrike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rPr>
            <a:pPr/>
            <a:t>3.1.b  Evolución de la PTF (a)</a:t>
          </a:fld>
          <a:endParaRPr lang="es-ES_tradnl" sz="800" b="1">
            <a:solidFill>
              <a:schemeClr val="tx1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0</xdr:col>
      <xdr:colOff>0</xdr:colOff>
      <xdr:row>2</xdr:row>
      <xdr:rowOff>118286</xdr:rowOff>
    </xdr:from>
    <xdr:to>
      <xdr:col>14</xdr:col>
      <xdr:colOff>805</xdr:colOff>
      <xdr:row>3</xdr:row>
      <xdr:rowOff>349581</xdr:rowOff>
    </xdr:to>
    <xdr:sp macro="" textlink="Datos!Q2">
      <xdr:nvSpPr>
        <xdr:cNvPr id="10" name="1 CuadroTexto">
          <a:extLst>
            <a:ext uri="{FF2B5EF4-FFF2-40B4-BE49-F238E27FC236}">
              <a16:creationId xmlns:a16="http://schemas.microsoft.com/office/drawing/2014/main" id="{51D7F817-3034-466C-9E84-55D851B2DBA5}"/>
            </a:ext>
          </a:extLst>
        </xdr:cNvPr>
        <xdr:cNvSpPr txBox="1"/>
      </xdr:nvSpPr>
      <xdr:spPr>
        <a:xfrm>
          <a:off x="0" y="402009"/>
          <a:ext cx="5448294" cy="373157"/>
        </a:xfrm>
        <a:prstGeom prst="rect">
          <a:avLst/>
        </a:prstGeom>
        <a:noFill/>
      </xdr:spPr>
      <xdr:txBody>
        <a:bodyPr wrap="square" tIns="108000" rIns="0" bIns="0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fld id="{FBBE144C-0E81-4F6F-9BF8-D863A11847D5}" type="TxLink">
            <a:rPr lang="en-US" sz="800" b="0" i="0" u="none" strike="noStrike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rPr>
            <a:pPr/>
            <a:t>3.1.a  Productividad por hora y contribuciones (a)</a:t>
          </a:fld>
          <a:endParaRPr lang="es-ES_tradnl" sz="800" b="1">
            <a:solidFill>
              <a:schemeClr val="tx1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 editAs="absolute">
    <xdr:from>
      <xdr:col>0</xdr:col>
      <xdr:colOff>0</xdr:colOff>
      <xdr:row>3</xdr:row>
      <xdr:rowOff>246140</xdr:rowOff>
    </xdr:from>
    <xdr:to>
      <xdr:col>15</xdr:col>
      <xdr:colOff>132556</xdr:colOff>
      <xdr:row>18</xdr:row>
      <xdr:rowOff>39985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C5AEF7DA-66FB-4598-A905-E356D7CC8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0.01029</cdr:x>
      <cdr:y>0.02165</cdr:y>
    </cdr:from>
    <cdr:to>
      <cdr:x>0.98971</cdr:x>
      <cdr:y>0.24097</cdr:y>
    </cdr:to>
    <cdr:sp macro="" textlink="Datos!#REF!" fLocksText="0">
      <cdr:nvSpPr>
        <cdr:cNvPr id="2049" name="Rectangle 1"/>
        <cdr:cNvSpPr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50800" y="50800"/>
          <a:ext cx="4533900" cy="4825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5080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0.04877</cdr:x>
      <cdr:y>0.02627</cdr:y>
    </cdr:from>
    <cdr:to>
      <cdr:x>0.29875</cdr:x>
      <cdr:y>0.12216</cdr:y>
    </cdr:to>
    <cdr:sp macro="" textlink="Datos!$B$3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4D03547C-886A-AEE0-856A-21C6B08E31E6}"/>
            </a:ext>
          </a:extLst>
        </cdr:cNvPr>
        <cdr:cNvSpPr txBox="1"/>
      </cdr:nvSpPr>
      <cdr:spPr>
        <a:xfrm xmlns:a="http://schemas.openxmlformats.org/drawingml/2006/main">
          <a:off x="296259" y="59637"/>
          <a:ext cx="1518557" cy="217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 anchor="ctr"/>
        <a:lstStyle xmlns:a="http://schemas.openxmlformats.org/drawingml/2006/main"/>
        <a:p xmlns:a="http://schemas.openxmlformats.org/drawingml/2006/main">
          <a:fld id="{2912C40C-A3C6-4761-BDE7-17A58DB91C05}" type="TxLink">
            <a:rPr lang="en-US" sz="700" b="0" i="0" u="none" strike="noStrike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rPr>
            <a:pPr/>
            <a:t>Índice I TR 2000 = 100</a:t>
          </a:fld>
          <a:endParaRPr lang="es-ES" sz="7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  <cdr:relSizeAnchor xmlns:cdr="http://schemas.openxmlformats.org/drawingml/2006/chartDrawing">
    <cdr:from>
      <cdr:x>0.40707</cdr:x>
      <cdr:y>0.02238</cdr:y>
    </cdr:from>
    <cdr:to>
      <cdr:x>0.65705</cdr:x>
      <cdr:y>0.11827</cdr:y>
    </cdr:to>
    <cdr:sp macro="" textlink="Datos!$C$3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742E7312-813C-D1C8-2694-C403B7C8A61F}"/>
            </a:ext>
          </a:extLst>
        </cdr:cNvPr>
        <cdr:cNvSpPr txBox="1"/>
      </cdr:nvSpPr>
      <cdr:spPr>
        <a:xfrm xmlns:a="http://schemas.openxmlformats.org/drawingml/2006/main">
          <a:off x="2472872" y="50800"/>
          <a:ext cx="1518557" cy="217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6D9322F3-E458-4E0C-831A-B7526C853C0D}" type="TxLink">
            <a:rPr lang="en-US" sz="700" b="0" i="0" u="none" strike="noStrike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rPr>
            <a:pPr algn="r"/>
            <a:t> </a:t>
          </a:fld>
          <a:endParaRPr lang="es-ES" sz="7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0.01029</cdr:x>
      <cdr:y>0.02165</cdr:y>
    </cdr:from>
    <cdr:to>
      <cdr:x>0.98971</cdr:x>
      <cdr:y>0.24097</cdr:y>
    </cdr:to>
    <cdr:sp macro="" textlink="Datos!#REF!" fLocksText="0">
      <cdr:nvSpPr>
        <cdr:cNvPr id="2049" name="Rectangle 1"/>
        <cdr:cNvSpPr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50800" y="50800"/>
          <a:ext cx="4533900" cy="4825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5080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0.05235</cdr:x>
      <cdr:y>0.0187</cdr:y>
    </cdr:from>
    <cdr:to>
      <cdr:x>0.30272</cdr:x>
      <cdr:y>0.115</cdr:y>
    </cdr:to>
    <cdr:sp macro="" textlink="Datos!$Q$3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270777D-D3D6-BDCA-D595-EFE0DF885273}"/>
            </a:ext>
          </a:extLst>
        </cdr:cNvPr>
        <cdr:cNvSpPr txBox="1"/>
      </cdr:nvSpPr>
      <cdr:spPr>
        <a:xfrm xmlns:a="http://schemas.openxmlformats.org/drawingml/2006/main">
          <a:off x="315020" y="40267"/>
          <a:ext cx="1506675" cy="207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DCB1040A-87FF-44DD-B751-C5E2E83F7FCB}" type="TxLink">
            <a:rPr lang="en-US" sz="700" b="0" i="0" u="none" strike="noStrike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rPr>
            <a:pPr/>
            <a:t>Contribución media anual (% y pp) </a:t>
          </a:fld>
          <a:endParaRPr lang="es-ES" sz="7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  <cdr:relSizeAnchor xmlns:cdr="http://schemas.openxmlformats.org/drawingml/2006/chartDrawing">
    <cdr:from>
      <cdr:x>0.42027</cdr:x>
      <cdr:y>0.02488</cdr:y>
    </cdr:from>
    <cdr:to>
      <cdr:x>0.67064</cdr:x>
      <cdr:y>0.12117</cdr:y>
    </cdr:to>
    <cdr:sp macro="" textlink="Datos!$R$3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30F1FB49-C28F-411E-9E6E-950F6AB06DF5}"/>
            </a:ext>
          </a:extLst>
        </cdr:cNvPr>
        <cdr:cNvSpPr txBox="1"/>
      </cdr:nvSpPr>
      <cdr:spPr>
        <a:xfrm xmlns:a="http://schemas.openxmlformats.org/drawingml/2006/main">
          <a:off x="2549070" y="56242"/>
          <a:ext cx="1518557" cy="217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0" tIns="0" rIns="0" bIns="0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80C3E463-D9AD-4D20-95F6-6BDB9DC3364F}" type="TxLink">
            <a:rPr lang="en-US" sz="700" b="0" i="0" u="none" strike="noStrike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</a:rPr>
            <a:pPr algn="r"/>
            <a:t> </a:t>
          </a:fld>
          <a:endParaRPr lang="es-ES" sz="7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SES\GRAFOUT\CONSEJO\Copia%20de%20Consejo_junio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G_1"/>
      <sheetName val="G0"/>
      <sheetName val="G1"/>
      <sheetName val="G2"/>
      <sheetName val="G3"/>
      <sheetName val="G4"/>
      <sheetName val="G5"/>
      <sheetName val="G6"/>
      <sheetName val="G7"/>
      <sheetName val="G8"/>
      <sheetName val="G9"/>
      <sheetName val="G10"/>
      <sheetName val="G11"/>
      <sheetName val="GuiaHor"/>
      <sheetName val="IndiSinteticoEquipo_1996"/>
      <sheetName val="WS_AUX"/>
    </sheetNames>
    <sheetDataSet>
      <sheetData sheetId="0" refreshError="1">
        <row r="6">
          <cell r="V6" t="str">
            <v>Producto interior bruto</v>
          </cell>
          <cell r="AF6" t="str">
            <v>Producto interior bruto (5)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Colores 2026_2">
      <a:dk1>
        <a:sysClr val="windowText" lastClr="000000"/>
      </a:dk1>
      <a:lt1>
        <a:sysClr val="window" lastClr="FFFFFF"/>
      </a:lt1>
      <a:dk2>
        <a:srgbClr val="FFDB93"/>
      </a:dk2>
      <a:lt2>
        <a:srgbClr val="7DB749"/>
      </a:lt2>
      <a:accent1>
        <a:srgbClr val="EF9011"/>
      </a:accent1>
      <a:accent2>
        <a:srgbClr val="AECEF4"/>
      </a:accent2>
      <a:accent3>
        <a:srgbClr val="FFC000"/>
      </a:accent3>
      <a:accent4>
        <a:srgbClr val="1D5191"/>
      </a:accent4>
      <a:accent5>
        <a:srgbClr val="C30FBA"/>
      </a:accent5>
      <a:accent6>
        <a:srgbClr val="7F3C2F"/>
      </a:accent6>
      <a:hlink>
        <a:srgbClr val="000000"/>
      </a:hlink>
      <a:folHlink>
        <a:srgbClr val="00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Gráfico">
    <a:dk1>
      <a:sysClr val="windowText" lastClr="000000"/>
    </a:dk1>
    <a:lt1>
      <a:sysClr val="window" lastClr="FFFFFF"/>
    </a:lt1>
    <a:dk2>
      <a:srgbClr val="B35C48"/>
    </a:dk2>
    <a:lt2>
      <a:srgbClr val="858585"/>
    </a:lt2>
    <a:accent1>
      <a:srgbClr val="004081"/>
    </a:accent1>
    <a:accent2>
      <a:srgbClr val="A32938"/>
    </a:accent2>
    <a:accent3>
      <a:srgbClr val="246C24"/>
    </a:accent3>
    <a:accent4>
      <a:srgbClr val="F08F00"/>
    </a:accent4>
    <a:accent5>
      <a:srgbClr val="00B8AF"/>
    </a:accent5>
    <a:accent6>
      <a:srgbClr val="EE0213"/>
    </a:accent6>
    <a:hlink>
      <a:srgbClr val="B35C48"/>
    </a:hlink>
    <a:folHlink>
      <a:srgbClr val="800080"/>
    </a:folHlink>
  </a:clrScheme>
  <a:fontScheme name="Gráficos">
    <a:majorFont>
      <a:latin typeface="BdE Neue Helvetica 55 Roman"/>
      <a:ea typeface=""/>
      <a:cs typeface=""/>
    </a:majorFont>
    <a:minorFont>
      <a:latin typeface="BdE Neue Helvetica 55 Roman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Gráfico">
    <a:dk1>
      <a:sysClr val="windowText" lastClr="000000"/>
    </a:dk1>
    <a:lt1>
      <a:sysClr val="window" lastClr="FFFFFF"/>
    </a:lt1>
    <a:dk2>
      <a:srgbClr val="B35C48"/>
    </a:dk2>
    <a:lt2>
      <a:srgbClr val="858585"/>
    </a:lt2>
    <a:accent1>
      <a:srgbClr val="004081"/>
    </a:accent1>
    <a:accent2>
      <a:srgbClr val="A32938"/>
    </a:accent2>
    <a:accent3>
      <a:srgbClr val="246C24"/>
    </a:accent3>
    <a:accent4>
      <a:srgbClr val="F08F00"/>
    </a:accent4>
    <a:accent5>
      <a:srgbClr val="00B8AF"/>
    </a:accent5>
    <a:accent6>
      <a:srgbClr val="EE0213"/>
    </a:accent6>
    <a:hlink>
      <a:srgbClr val="B35C48"/>
    </a:hlink>
    <a:folHlink>
      <a:srgbClr val="800080"/>
    </a:folHlink>
  </a:clrScheme>
  <a:fontScheme name="Gráficos">
    <a:majorFont>
      <a:latin typeface="BdE Neue Helvetica 55 Roman"/>
      <a:ea typeface=""/>
      <a:cs typeface=""/>
    </a:majorFont>
    <a:minorFont>
      <a:latin typeface="BdE Neue Helvetica 55 Roman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V44"/>
  <sheetViews>
    <sheetView tabSelected="1" zoomScale="150" zoomScaleNormal="150" workbookViewId="0">
      <selection activeCell="S18" sqref="S18"/>
    </sheetView>
  </sheetViews>
  <sheetFormatPr baseColWidth="10" defaultColWidth="4.765625" defaultRowHeight="11.15" customHeight="1" x14ac:dyDescent="0.25"/>
  <cols>
    <col min="1" max="13" width="4.765625" style="58"/>
    <col min="14" max="14" width="4.765625" style="58" customWidth="1"/>
    <col min="15" max="15" width="5.3046875" style="58" customWidth="1"/>
    <col min="16" max="16" width="4.765625" style="58" customWidth="1"/>
    <col min="17" max="16384" width="4.765625" style="58"/>
  </cols>
  <sheetData>
    <row r="1" spans="1:22" ht="11.15" customHeight="1" x14ac:dyDescent="0.35">
      <c r="A1" s="57"/>
      <c r="H1" s="59"/>
    </row>
    <row r="2" spans="1:22" ht="11.15" customHeight="1" x14ac:dyDescent="0.35">
      <c r="H2" s="59"/>
    </row>
    <row r="3" spans="1:22" ht="11.15" customHeight="1" x14ac:dyDescent="0.35">
      <c r="H3" s="59"/>
    </row>
    <row r="4" spans="1:22" ht="29.25" customHeight="1" x14ac:dyDescent="0.25">
      <c r="T4" s="60"/>
    </row>
    <row r="12" spans="1:22" ht="11.15" customHeight="1" x14ac:dyDescent="0.35">
      <c r="V12" s="59"/>
    </row>
    <row r="27" spans="9:9" ht="11.15" customHeight="1" x14ac:dyDescent="0.25">
      <c r="I27" s="61"/>
    </row>
    <row r="44" spans="4:4" ht="11.15" customHeight="1" x14ac:dyDescent="0.25">
      <c r="D44" s="61"/>
    </row>
  </sheetData>
  <phoneticPr fontId="5" type="noConversion"/>
  <pageMargins left="0.74803149606299213" right="0" top="0.6692913385826772" bottom="0" header="0" footer="0"/>
  <pageSetup paperSize="9" pageOrder="overThenDown" orientation="portrait" r:id="rId1"/>
  <headerFooter alignWithMargins="0"/>
  <customProperties>
    <customPr name="IBERIA.Market.Data.Providers.Request.Excel.Sheet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/>
  <dimension ref="B1:AM984"/>
  <sheetViews>
    <sheetView topLeftCell="N1" zoomScale="145" zoomScaleNormal="145" workbookViewId="0">
      <selection activeCell="W4" sqref="W4"/>
    </sheetView>
  </sheetViews>
  <sheetFormatPr baseColWidth="10" defaultRowHeight="11.25" customHeight="1" x14ac:dyDescent="0.35"/>
  <cols>
    <col min="1" max="1" width="3" customWidth="1"/>
    <col min="2" max="2" width="14.3046875" style="25" customWidth="1"/>
    <col min="3" max="3" width="7.23046875" style="9" customWidth="1"/>
    <col min="4" max="16" width="7.765625" style="5" customWidth="1"/>
    <col min="17" max="17" width="14" style="35" customWidth="1"/>
    <col min="18" max="18" width="7.23046875" style="41" customWidth="1"/>
    <col min="19" max="26" width="7.765625" style="5" customWidth="1"/>
    <col min="27" max="27" width="13.765625" style="35" customWidth="1"/>
    <col min="28" max="28" width="6.23046875" style="29" customWidth="1"/>
    <col min="29" max="29" width="9.4609375" style="5" customWidth="1"/>
    <col min="30" max="32" width="7.765625" style="5" customWidth="1"/>
    <col min="33" max="33" width="4.23046875" customWidth="1"/>
  </cols>
  <sheetData>
    <row r="1" spans="2:39" ht="15.75" customHeight="1" x14ac:dyDescent="0.35">
      <c r="B1" s="22"/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2"/>
      <c r="R1" s="37"/>
      <c r="S1" s="1"/>
      <c r="T1" s="1"/>
      <c r="U1" s="1"/>
      <c r="V1" s="1"/>
      <c r="W1" s="1"/>
      <c r="X1" s="1"/>
      <c r="Y1" s="1"/>
      <c r="Z1" s="1"/>
      <c r="AA1" s="32"/>
      <c r="AB1" s="26"/>
      <c r="AC1" s="1"/>
      <c r="AD1" s="1"/>
      <c r="AE1" s="1"/>
      <c r="AF1" s="1"/>
    </row>
    <row r="2" spans="2:39" ht="15.75" customHeight="1" x14ac:dyDescent="0.35">
      <c r="B2" s="3" t="s">
        <v>199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 t="s">
        <v>198</v>
      </c>
      <c r="R2" s="37"/>
      <c r="S2" s="1"/>
      <c r="T2" s="1"/>
      <c r="U2" s="1"/>
      <c r="V2" s="1"/>
      <c r="W2" s="1"/>
      <c r="X2" s="1"/>
      <c r="Y2" s="1"/>
      <c r="Z2" s="1"/>
      <c r="AA2" s="3" t="s">
        <v>178</v>
      </c>
      <c r="AB2" s="26"/>
      <c r="AD2" s="1"/>
      <c r="AE2" s="1"/>
      <c r="AF2" s="1"/>
    </row>
    <row r="3" spans="2:39" ht="15.75" customHeight="1" x14ac:dyDescent="0.35">
      <c r="B3" s="2" t="s">
        <v>200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 t="s">
        <v>197</v>
      </c>
      <c r="R3" s="2"/>
      <c r="S3" s="1"/>
      <c r="T3" s="1"/>
      <c r="U3" s="1"/>
      <c r="V3" s="1"/>
      <c r="W3" s="1"/>
      <c r="X3" s="1"/>
      <c r="Y3" s="1"/>
      <c r="Z3" s="1"/>
      <c r="AA3" s="2" t="s">
        <v>177</v>
      </c>
      <c r="AB3" s="2" t="s">
        <v>69</v>
      </c>
      <c r="AC3" s="1"/>
      <c r="AD3" s="1"/>
      <c r="AE3" s="1"/>
      <c r="AF3" s="1"/>
    </row>
    <row r="4" spans="2:39" s="31" customFormat="1" ht="22" customHeight="1" x14ac:dyDescent="0.3">
      <c r="B4" s="23"/>
      <c r="C4" s="30"/>
      <c r="D4" s="6" t="s">
        <v>170</v>
      </c>
      <c r="E4" s="6"/>
      <c r="F4" s="6" t="s">
        <v>171</v>
      </c>
      <c r="G4" s="6" t="s">
        <v>51</v>
      </c>
      <c r="H4" s="6" t="s">
        <v>179</v>
      </c>
      <c r="I4" s="6" t="s">
        <v>172</v>
      </c>
      <c r="J4" s="6" t="s">
        <v>173</v>
      </c>
      <c r="K4" s="6" t="s">
        <v>174</v>
      </c>
      <c r="L4" s="6" t="s">
        <v>175</v>
      </c>
      <c r="M4" s="6" t="s">
        <v>176</v>
      </c>
      <c r="N4" s="6" t="s">
        <v>180</v>
      </c>
      <c r="O4" s="6" t="s">
        <v>181</v>
      </c>
      <c r="P4" s="6"/>
      <c r="Q4" s="42"/>
      <c r="R4" s="36"/>
      <c r="S4" s="6" t="s">
        <v>52</v>
      </c>
      <c r="T4" s="6" t="s">
        <v>187</v>
      </c>
      <c r="U4" s="6" t="s">
        <v>53</v>
      </c>
      <c r="V4" s="6" t="s">
        <v>54</v>
      </c>
      <c r="W4" s="6" t="s">
        <v>201</v>
      </c>
      <c r="X4" s="6" t="s">
        <v>55</v>
      </c>
      <c r="Y4" s="6" t="s">
        <v>195</v>
      </c>
      <c r="Z4" s="31" t="s">
        <v>196</v>
      </c>
      <c r="AA4" s="33"/>
      <c r="AB4" s="30"/>
      <c r="AC4" s="6" t="s">
        <v>66</v>
      </c>
      <c r="AD4" s="6" t="s">
        <v>67</v>
      </c>
      <c r="AE4" s="6" t="s">
        <v>68</v>
      </c>
      <c r="AF4" s="6"/>
    </row>
    <row r="5" spans="2:39" ht="11.25" customHeight="1" x14ac:dyDescent="0.35">
      <c r="B5" s="24"/>
      <c r="C5" s="21">
        <v>2000</v>
      </c>
      <c r="D5" s="10">
        <v>1</v>
      </c>
      <c r="E5" s="10" t="s">
        <v>70</v>
      </c>
      <c r="F5" s="10">
        <v>2000</v>
      </c>
      <c r="G5" s="10">
        <v>100</v>
      </c>
      <c r="H5" s="10">
        <v>100</v>
      </c>
      <c r="I5" s="10">
        <v>100</v>
      </c>
      <c r="J5" s="10">
        <v>100</v>
      </c>
      <c r="K5" s="10">
        <v>100</v>
      </c>
      <c r="L5" s="10">
        <v>100</v>
      </c>
      <c r="M5" s="10">
        <v>-1000</v>
      </c>
      <c r="N5" s="10">
        <f>G5</f>
        <v>100</v>
      </c>
      <c r="O5" s="10">
        <f>H5</f>
        <v>100</v>
      </c>
      <c r="P5" s="10">
        <v>100</v>
      </c>
      <c r="Q5" s="34"/>
      <c r="R5" s="62" t="s">
        <v>51</v>
      </c>
      <c r="S5" s="11" t="s">
        <v>50</v>
      </c>
      <c r="T5" s="11">
        <v>-0.12480390721585501</v>
      </c>
      <c r="U5" s="11">
        <v>0.16853050968984201</v>
      </c>
      <c r="V5" s="11">
        <v>0.13930279823098499</v>
      </c>
      <c r="W5" s="11">
        <v>0.85089404187254403</v>
      </c>
      <c r="X5" s="11">
        <v>-0.515918394484567</v>
      </c>
      <c r="Y5" s="11">
        <v>0.51800504809295</v>
      </c>
      <c r="Z5" s="56">
        <f>T5+U5+V5</f>
        <v>0.18302940070497198</v>
      </c>
      <c r="AA5" s="34"/>
      <c r="AB5" s="21" t="s">
        <v>50</v>
      </c>
      <c r="AC5" s="10"/>
      <c r="AD5" s="10">
        <v>0</v>
      </c>
      <c r="AE5" s="10">
        <v>0</v>
      </c>
      <c r="AF5" s="10"/>
      <c r="AJ5" s="54" t="s">
        <v>191</v>
      </c>
      <c r="AK5" s="54" t="s">
        <v>189</v>
      </c>
      <c r="AL5" s="54" t="s">
        <v>190</v>
      </c>
    </row>
    <row r="6" spans="2:39" ht="11.25" customHeight="1" x14ac:dyDescent="0.35">
      <c r="B6" s="24"/>
      <c r="C6" s="21">
        <v>2000</v>
      </c>
      <c r="D6" s="10">
        <v>2</v>
      </c>
      <c r="E6" s="10" t="s">
        <v>71</v>
      </c>
      <c r="F6" s="10">
        <v>2000.25</v>
      </c>
      <c r="G6" s="10">
        <v>99.790220774828896</v>
      </c>
      <c r="H6" s="10">
        <v>100.295171686274</v>
      </c>
      <c r="I6" s="10">
        <v>100.126272166251</v>
      </c>
      <c r="J6" s="10">
        <v>100.89156546858101</v>
      </c>
      <c r="K6" s="10">
        <v>100.104032526331</v>
      </c>
      <c r="L6" s="10">
        <v>99.912493271488202</v>
      </c>
      <c r="M6" s="10">
        <v>-1000</v>
      </c>
      <c r="N6" s="10">
        <f>($N$61-$N$5)/COUNT($G$5:$G$61)+N5</f>
        <v>99.871282382160942</v>
      </c>
      <c r="O6" s="10">
        <f>($O$61-$O$5)/COUNT($H$5:$H$61)+O5</f>
        <v>100.10346088586141</v>
      </c>
      <c r="P6" s="10">
        <v>100</v>
      </c>
      <c r="Q6" s="34"/>
      <c r="R6" s="62"/>
      <c r="S6" s="11" t="s">
        <v>186</v>
      </c>
      <c r="T6" s="11">
        <v>0.24567027597316199</v>
      </c>
      <c r="U6" s="11">
        <v>4.1005185643997001E-2</v>
      </c>
      <c r="V6" s="11">
        <v>0.154030910941859</v>
      </c>
      <c r="W6" s="11">
        <v>-0.175276359092819</v>
      </c>
      <c r="X6" s="11">
        <v>0.41070072318298401</v>
      </c>
      <c r="Y6" s="11">
        <v>0.676130736649183</v>
      </c>
      <c r="Z6" s="56">
        <f t="shared" ref="Z6:Z8" si="0">T6+U6+V6</f>
        <v>0.44070637255901801</v>
      </c>
      <c r="AA6" s="34"/>
      <c r="AB6" s="21" t="s">
        <v>50</v>
      </c>
      <c r="AC6" s="10" t="s">
        <v>56</v>
      </c>
      <c r="AD6" s="10">
        <v>19.5113507512201</v>
      </c>
      <c r="AE6" s="10">
        <v>0.10476788405463799</v>
      </c>
      <c r="AF6" s="10">
        <v>0.10476788405463799</v>
      </c>
      <c r="AJ6" s="54" t="s">
        <v>50</v>
      </c>
      <c r="AK6" s="55" cm="1">
        <f t="array" ref="AK6">(AVERAGE((G57:G60)/AVERAGE(G5:G8)-1)*100)/13</f>
        <v>-0.50125297299829341</v>
      </c>
      <c r="AL6" s="55" cm="1">
        <f t="array" ref="AL6">(AVERAGE((H57:H60)/AVERAGE(H5:H8)-1)*100)/13</f>
        <v>0.41022487003570252</v>
      </c>
    </row>
    <row r="7" spans="2:39" ht="11.25" customHeight="1" x14ac:dyDescent="0.35">
      <c r="B7" s="24"/>
      <c r="C7" s="21">
        <v>2000</v>
      </c>
      <c r="D7" s="10">
        <v>3</v>
      </c>
      <c r="E7" s="10" t="s">
        <v>72</v>
      </c>
      <c r="F7" s="10">
        <v>2000.5</v>
      </c>
      <c r="G7" s="10">
        <v>99.980045461182897</v>
      </c>
      <c r="H7" s="10">
        <v>100.373322266088</v>
      </c>
      <c r="I7" s="10">
        <v>99.938384829946699</v>
      </c>
      <c r="J7" s="10">
        <v>100.477838604819</v>
      </c>
      <c r="K7" s="10">
        <v>100.164529933216</v>
      </c>
      <c r="L7" s="10">
        <v>102.605818495186</v>
      </c>
      <c r="M7" s="10">
        <v>-1000</v>
      </c>
      <c r="N7" s="10">
        <f t="shared" ref="N7:N60" si="1">($N$61-$N$5)/COUNT($G$5:$G$61)+N6</f>
        <v>99.742564764321884</v>
      </c>
      <c r="O7" s="10">
        <f t="shared" ref="O7:O60" si="2">($O$61-$O$5)/COUNT($H$5:$H$61)+O6</f>
        <v>100.20692177172282</v>
      </c>
      <c r="P7" s="10">
        <v>100</v>
      </c>
      <c r="Q7" s="34"/>
      <c r="R7" s="62" t="s">
        <v>179</v>
      </c>
      <c r="S7" s="11" t="s">
        <v>50</v>
      </c>
      <c r="T7" s="11">
        <v>-0.12937676780738</v>
      </c>
      <c r="U7" s="11">
        <v>0.13532008523952799</v>
      </c>
      <c r="V7" s="11">
        <v>0.10684417572388399</v>
      </c>
      <c r="W7" s="11">
        <v>0.28541432632045299</v>
      </c>
      <c r="X7" s="11">
        <v>0.444594905931463</v>
      </c>
      <c r="Y7" s="11">
        <v>0.84279672540794803</v>
      </c>
      <c r="Z7" s="56">
        <f t="shared" si="0"/>
        <v>0.11278749315603198</v>
      </c>
      <c r="AA7" s="34"/>
      <c r="AB7" s="21" t="s">
        <v>50</v>
      </c>
      <c r="AC7" s="10" t="s">
        <v>57</v>
      </c>
      <c r="AD7" s="10">
        <v>27.631406377022099</v>
      </c>
      <c r="AE7" s="10">
        <v>0.19904955879650499</v>
      </c>
      <c r="AF7" s="10">
        <v>9.4281674741866994E-2</v>
      </c>
      <c r="AJ7" s="54" t="s">
        <v>188</v>
      </c>
      <c r="AK7" s="55" cm="1">
        <f t="array" ref="AK7">(AVERAGE((G105:G108)/AVERAGE(G61:G64)-1)*100)/11</f>
        <v>0.49922284911815978</v>
      </c>
      <c r="AL7" s="55" cm="1">
        <f t="array" ref="AL7">(AVERAGE((H105:H108)/AVERAGE(H61:H64)-1)*100)/11</f>
        <v>6.4890091060337829E-2</v>
      </c>
    </row>
    <row r="8" spans="2:39" ht="11.25" customHeight="1" x14ac:dyDescent="0.35">
      <c r="B8" s="24"/>
      <c r="C8" s="21">
        <v>2000</v>
      </c>
      <c r="D8" s="10">
        <v>4</v>
      </c>
      <c r="E8" s="10" t="s">
        <v>73</v>
      </c>
      <c r="F8" s="10">
        <v>2000.75</v>
      </c>
      <c r="G8" s="10">
        <v>99.815027505371901</v>
      </c>
      <c r="H8" s="10">
        <v>100.38326686417599</v>
      </c>
      <c r="I8" s="10">
        <v>99.344808789177506</v>
      </c>
      <c r="J8" s="10">
        <v>100.316183809847</v>
      </c>
      <c r="K8" s="10">
        <v>101.290447054468</v>
      </c>
      <c r="L8" s="10">
        <v>102.75130411453701</v>
      </c>
      <c r="M8" s="10">
        <v>-1000</v>
      </c>
      <c r="N8" s="10">
        <f t="shared" si="1"/>
        <v>99.613847146482826</v>
      </c>
      <c r="O8" s="10">
        <f t="shared" si="2"/>
        <v>100.31038265758423</v>
      </c>
      <c r="P8" s="10">
        <v>100</v>
      </c>
      <c r="Q8" s="34"/>
      <c r="R8" s="62"/>
      <c r="S8" s="11" t="s">
        <v>186</v>
      </c>
      <c r="T8" s="11">
        <v>0.14488796161675499</v>
      </c>
      <c r="U8" s="11">
        <v>2.7163746120632999E-2</v>
      </c>
      <c r="V8" s="11">
        <v>0.12676059248754401</v>
      </c>
      <c r="W8" s="11">
        <v>0.13331573467820501</v>
      </c>
      <c r="X8" s="11">
        <v>7.5909914470413203E-2</v>
      </c>
      <c r="Y8" s="11">
        <v>0.50803794937355196</v>
      </c>
      <c r="Z8" s="56">
        <f t="shared" si="0"/>
        <v>0.29881230022493199</v>
      </c>
      <c r="AA8" s="34"/>
      <c r="AB8" s="21" t="s">
        <v>50</v>
      </c>
      <c r="AC8" s="11" t="s">
        <v>59</v>
      </c>
      <c r="AD8" s="10">
        <v>34.198408725862599</v>
      </c>
      <c r="AE8" s="10">
        <v>0.16240325580779899</v>
      </c>
      <c r="AF8" s="10">
        <v>-3.6646302988705998E-2</v>
      </c>
    </row>
    <row r="9" spans="2:39" ht="11.25" customHeight="1" x14ac:dyDescent="0.35">
      <c r="B9" s="24"/>
      <c r="C9" s="21">
        <v>2001</v>
      </c>
      <c r="D9" s="10">
        <v>1</v>
      </c>
      <c r="E9" s="10" t="s">
        <v>74</v>
      </c>
      <c r="F9" s="10">
        <v>2001</v>
      </c>
      <c r="G9" s="10">
        <v>100.0514955344</v>
      </c>
      <c r="H9" s="10">
        <v>101.51002231918299</v>
      </c>
      <c r="I9" s="10">
        <v>102.066437050874</v>
      </c>
      <c r="J9" s="10">
        <v>100.923545009994</v>
      </c>
      <c r="K9" s="10">
        <v>100.529930893767</v>
      </c>
      <c r="L9" s="10">
        <v>103.27483637382799</v>
      </c>
      <c r="M9" s="10">
        <v>-1000</v>
      </c>
      <c r="N9" s="10">
        <f t="shared" si="1"/>
        <v>99.485129528643768</v>
      </c>
      <c r="O9" s="10">
        <f t="shared" si="2"/>
        <v>100.41384354344564</v>
      </c>
      <c r="P9" s="10">
        <v>100</v>
      </c>
      <c r="Q9" s="34"/>
      <c r="R9" s="38"/>
      <c r="S9" s="11"/>
      <c r="T9" s="11"/>
      <c r="U9" s="11"/>
      <c r="V9" s="11"/>
      <c r="W9" s="11"/>
      <c r="X9" s="11"/>
      <c r="Y9" s="11"/>
      <c r="Z9" s="56"/>
      <c r="AA9" s="34"/>
      <c r="AB9" s="21" t="s">
        <v>50</v>
      </c>
      <c r="AC9" s="11" t="s">
        <v>60</v>
      </c>
      <c r="AD9" s="10">
        <v>39.548253240588501</v>
      </c>
      <c r="AE9" s="10">
        <v>-2.8932417955008002E-2</v>
      </c>
      <c r="AF9" s="10">
        <v>-0.191335673762807</v>
      </c>
    </row>
    <row r="10" spans="2:39" ht="11.25" customHeight="1" x14ac:dyDescent="0.35">
      <c r="B10" s="24"/>
      <c r="C10" s="21">
        <v>2001</v>
      </c>
      <c r="D10" s="10">
        <v>2</v>
      </c>
      <c r="E10" s="10" t="s">
        <v>75</v>
      </c>
      <c r="F10" s="10">
        <v>2001.25</v>
      </c>
      <c r="G10" s="10">
        <v>99.651184888322902</v>
      </c>
      <c r="H10" s="10">
        <v>101.86384363857</v>
      </c>
      <c r="I10" s="10">
        <v>102.404736374</v>
      </c>
      <c r="J10" s="10">
        <v>101.06947522586201</v>
      </c>
      <c r="K10" s="10">
        <v>101.321401575801</v>
      </c>
      <c r="L10" s="10">
        <v>103.078038532424</v>
      </c>
      <c r="M10" s="10">
        <v>-1000</v>
      </c>
      <c r="N10" s="10">
        <f t="shared" si="1"/>
        <v>99.356411910804709</v>
      </c>
      <c r="O10" s="10">
        <f t="shared" si="2"/>
        <v>100.51730442930705</v>
      </c>
      <c r="P10" s="10">
        <v>100</v>
      </c>
      <c r="Q10" s="34"/>
      <c r="R10" s="38"/>
      <c r="S10" s="11"/>
      <c r="T10" s="11"/>
      <c r="U10" s="11"/>
      <c r="V10" s="11"/>
      <c r="W10" s="11"/>
      <c r="X10" s="11"/>
      <c r="Y10" s="11"/>
      <c r="Z10" s="56"/>
      <c r="AA10" s="34"/>
      <c r="AB10" s="21" t="s">
        <v>50</v>
      </c>
      <c r="AC10" s="11" t="s">
        <v>61</v>
      </c>
      <c r="AD10" s="10">
        <v>49.852096998530101</v>
      </c>
      <c r="AE10" s="10">
        <v>-0.34652133681451502</v>
      </c>
      <c r="AF10" s="10">
        <v>-0.31758891885950702</v>
      </c>
    </row>
    <row r="11" spans="2:39" ht="11.25" customHeight="1" x14ac:dyDescent="0.35">
      <c r="B11" s="24"/>
      <c r="C11" s="21">
        <v>2001</v>
      </c>
      <c r="D11" s="10">
        <v>3</v>
      </c>
      <c r="E11" s="10" t="s">
        <v>76</v>
      </c>
      <c r="F11" s="10">
        <v>2001.5</v>
      </c>
      <c r="G11" s="10">
        <v>100.067842922907</v>
      </c>
      <c r="H11" s="10">
        <v>102.05064467354499</v>
      </c>
      <c r="I11" s="10">
        <v>103.05006456616501</v>
      </c>
      <c r="J11" s="10">
        <v>101.638739126636</v>
      </c>
      <c r="K11" s="10">
        <v>100.47946839972801</v>
      </c>
      <c r="L11" s="10">
        <v>102.95850996544701</v>
      </c>
      <c r="M11" s="10">
        <v>-1000</v>
      </c>
      <c r="N11" s="10">
        <f t="shared" si="1"/>
        <v>99.227694292965651</v>
      </c>
      <c r="O11" s="10">
        <f t="shared" si="2"/>
        <v>100.62076531516846</v>
      </c>
      <c r="P11" s="10">
        <v>100</v>
      </c>
      <c r="Q11" s="34"/>
      <c r="R11" s="38"/>
      <c r="S11" s="11"/>
      <c r="T11"/>
      <c r="U11"/>
      <c r="V11"/>
      <c r="W11"/>
      <c r="X11"/>
      <c r="Y11"/>
      <c r="Z11" s="56"/>
      <c r="AB11" s="21" t="s">
        <v>50</v>
      </c>
      <c r="AC11" s="11" t="s">
        <v>62</v>
      </c>
      <c r="AD11" s="10">
        <v>55.266411868711501</v>
      </c>
      <c r="AE11" s="10">
        <v>-0.37941975835689401</v>
      </c>
      <c r="AF11" s="10">
        <v>-3.2898421542378986E-2</v>
      </c>
    </row>
    <row r="12" spans="2:39" ht="11.25" customHeight="1" x14ac:dyDescent="0.35">
      <c r="B12" s="24"/>
      <c r="C12" s="21">
        <v>2001</v>
      </c>
      <c r="D12" s="10">
        <v>4</v>
      </c>
      <c r="E12" s="10" t="s">
        <v>77</v>
      </c>
      <c r="F12" s="10">
        <v>2001.75</v>
      </c>
      <c r="G12" s="10">
        <v>100.43324291524701</v>
      </c>
      <c r="H12" s="10">
        <v>101.930081970892</v>
      </c>
      <c r="I12" s="10">
        <v>103.540323978651</v>
      </c>
      <c r="J12" s="10">
        <v>100.733326495309</v>
      </c>
      <c r="K12" s="10">
        <v>99.967729708978794</v>
      </c>
      <c r="L12" s="10">
        <v>103.42238334549999</v>
      </c>
      <c r="M12" s="10">
        <v>-1000</v>
      </c>
      <c r="N12" s="10">
        <f t="shared" si="1"/>
        <v>99.098976675126593</v>
      </c>
      <c r="O12" s="10">
        <f t="shared" si="2"/>
        <v>100.72422620102986</v>
      </c>
      <c r="P12" s="10">
        <v>100</v>
      </c>
      <c r="Q12" s="34"/>
      <c r="R12" s="38"/>
      <c r="S12" s="11"/>
      <c r="T12"/>
      <c r="U12"/>
      <c r="V12"/>
      <c r="W12"/>
      <c r="X12"/>
      <c r="Y12"/>
      <c r="Z12" s="56"/>
      <c r="AB12" s="21" t="s">
        <v>50</v>
      </c>
      <c r="AC12" s="11" t="s">
        <v>63</v>
      </c>
      <c r="AD12" s="10">
        <v>62.530269890552603</v>
      </c>
      <c r="AE12" s="10">
        <v>-0.52940612589865399</v>
      </c>
      <c r="AF12" s="10">
        <v>-0.14998636754175998</v>
      </c>
    </row>
    <row r="13" spans="2:39" ht="11.25" customHeight="1" x14ac:dyDescent="0.35">
      <c r="B13" s="24"/>
      <c r="C13" s="21">
        <v>2002</v>
      </c>
      <c r="D13" s="10">
        <v>1</v>
      </c>
      <c r="E13" s="10" t="s">
        <v>78</v>
      </c>
      <c r="F13" s="10">
        <v>2002</v>
      </c>
      <c r="G13" s="10">
        <v>99.514561499752602</v>
      </c>
      <c r="H13" s="10">
        <v>102.120234446834</v>
      </c>
      <c r="I13" s="10">
        <v>103.12782149046301</v>
      </c>
      <c r="J13" s="10">
        <v>102.115154001684</v>
      </c>
      <c r="K13" s="10">
        <v>99.9169313820951</v>
      </c>
      <c r="L13" s="10">
        <v>103.541708614024</v>
      </c>
      <c r="M13" s="10">
        <v>-1000</v>
      </c>
      <c r="N13" s="10">
        <f t="shared" si="1"/>
        <v>98.970259057287535</v>
      </c>
      <c r="O13" s="10">
        <f t="shared" si="2"/>
        <v>100.82768708689127</v>
      </c>
      <c r="P13" s="10">
        <v>100</v>
      </c>
      <c r="Q13" s="34"/>
      <c r="R13" s="38"/>
      <c r="S13" s="11"/>
      <c r="T13"/>
      <c r="U13"/>
      <c r="V13"/>
      <c r="W13"/>
      <c r="X13"/>
      <c r="Y13"/>
      <c r="Z13" s="56"/>
      <c r="AB13" s="21" t="s">
        <v>50</v>
      </c>
      <c r="AC13" s="11" t="s">
        <v>64</v>
      </c>
      <c r="AD13" s="10">
        <v>83.751728916736297</v>
      </c>
      <c r="AE13" s="10">
        <v>-0.26422123607465198</v>
      </c>
      <c r="AF13" s="10">
        <v>0.26518488982400201</v>
      </c>
      <c r="AJ13" s="54" t="s">
        <v>194</v>
      </c>
      <c r="AK13" s="54" t="s">
        <v>50</v>
      </c>
      <c r="AL13" s="54">
        <f>(AVERAGE(G57:G60)/AVERAGE(H57:H60)-1)*100</f>
        <v>-11.573817316121627</v>
      </c>
      <c r="AM13" s="54"/>
    </row>
    <row r="14" spans="2:39" ht="11.25" customHeight="1" x14ac:dyDescent="0.35">
      <c r="B14" s="24"/>
      <c r="C14" s="21">
        <v>2002</v>
      </c>
      <c r="D14" s="10">
        <v>2</v>
      </c>
      <c r="E14" s="10" t="s">
        <v>79</v>
      </c>
      <c r="F14" s="10">
        <v>2002.25</v>
      </c>
      <c r="G14" s="10">
        <v>99.650329416467997</v>
      </c>
      <c r="H14" s="10">
        <v>102.344898139408</v>
      </c>
      <c r="I14" s="10">
        <v>103.587241602642</v>
      </c>
      <c r="J14" s="10">
        <v>102.76971387341599</v>
      </c>
      <c r="K14" s="10">
        <v>99.335649909118004</v>
      </c>
      <c r="L14" s="10">
        <v>103.765733676602</v>
      </c>
      <c r="M14" s="10">
        <v>-1000</v>
      </c>
      <c r="N14" s="10">
        <f t="shared" si="1"/>
        <v>98.841541439448477</v>
      </c>
      <c r="O14" s="10">
        <f t="shared" si="2"/>
        <v>100.93114797275268</v>
      </c>
      <c r="P14" s="10">
        <v>100</v>
      </c>
      <c r="Q14" s="34"/>
      <c r="R14" s="38"/>
      <c r="S14" s="11"/>
      <c r="T14"/>
      <c r="U14"/>
      <c r="V14"/>
      <c r="W14"/>
      <c r="X14"/>
      <c r="Y14"/>
      <c r="Z14" s="56"/>
      <c r="AA14" s="34"/>
      <c r="AB14" s="21" t="s">
        <v>50</v>
      </c>
      <c r="AC14" s="11" t="s">
        <v>65</v>
      </c>
      <c r="AD14" s="10">
        <v>100</v>
      </c>
      <c r="AE14" s="10">
        <v>-0.45202062662512099</v>
      </c>
      <c r="AF14" s="10">
        <v>-0.18779939055046901</v>
      </c>
      <c r="AJ14" s="54" t="s">
        <v>194</v>
      </c>
      <c r="AK14" s="54" t="s">
        <v>192</v>
      </c>
      <c r="AL14" s="54">
        <f>(AVERAGE(G105:G108)/AVERAGE(H105:H108)-1)*100</f>
        <v>-7.9310746529390075</v>
      </c>
      <c r="AM14" s="54"/>
    </row>
    <row r="15" spans="2:39" ht="11.25" customHeight="1" x14ac:dyDescent="0.35">
      <c r="B15" s="24"/>
      <c r="C15" s="21">
        <v>2002</v>
      </c>
      <c r="D15" s="10">
        <v>3</v>
      </c>
      <c r="E15" s="10" t="s">
        <v>80</v>
      </c>
      <c r="F15" s="10">
        <v>2002.5</v>
      </c>
      <c r="G15" s="10">
        <v>99.039392891791493</v>
      </c>
      <c r="H15" s="10">
        <v>102.489522594966</v>
      </c>
      <c r="I15" s="10">
        <v>103.63660323747899</v>
      </c>
      <c r="J15" s="10">
        <v>103.19600080304301</v>
      </c>
      <c r="K15" s="10">
        <v>98.859574380864004</v>
      </c>
      <c r="L15" s="10">
        <v>105.285454901417</v>
      </c>
      <c r="M15" s="10">
        <v>-1000</v>
      </c>
      <c r="N15" s="10">
        <f t="shared" si="1"/>
        <v>98.712823821609419</v>
      </c>
      <c r="O15" s="10">
        <f t="shared" si="2"/>
        <v>101.03460885861409</v>
      </c>
      <c r="P15" s="10">
        <v>100</v>
      </c>
      <c r="Q15" s="34"/>
      <c r="R15" s="39"/>
      <c r="S15" s="11"/>
      <c r="T15" s="11"/>
      <c r="U15" s="11"/>
      <c r="V15" s="11"/>
      <c r="W15" s="11"/>
      <c r="X15" s="11"/>
      <c r="Y15" s="11"/>
      <c r="Z15" s="56"/>
      <c r="AA15" s="34"/>
      <c r="AB15" s="21" t="s">
        <v>58</v>
      </c>
      <c r="AC15" s="10"/>
      <c r="AD15" s="10">
        <v>0</v>
      </c>
      <c r="AE15" s="10">
        <v>0</v>
      </c>
      <c r="AF15" s="10">
        <v>0.45202062662512099</v>
      </c>
      <c r="AJ15" s="54"/>
      <c r="AK15" s="54"/>
      <c r="AL15" s="54"/>
      <c r="AM15" s="54"/>
    </row>
    <row r="16" spans="2:39" ht="11.25" customHeight="1" x14ac:dyDescent="0.35">
      <c r="B16" s="24"/>
      <c r="C16" s="21">
        <v>2002</v>
      </c>
      <c r="D16" s="10">
        <v>4</v>
      </c>
      <c r="E16" s="10" t="s">
        <v>81</v>
      </c>
      <c r="F16" s="10">
        <v>2002.75</v>
      </c>
      <c r="G16" s="10">
        <v>97.848763295951898</v>
      </c>
      <c r="H16" s="10">
        <v>102.85759057605701</v>
      </c>
      <c r="I16" s="10">
        <v>103.833687433503</v>
      </c>
      <c r="J16" s="10">
        <v>103.34294830425701</v>
      </c>
      <c r="K16" s="10">
        <v>99.886635167531395</v>
      </c>
      <c r="L16" s="10">
        <v>105.15339314633999</v>
      </c>
      <c r="M16" s="10">
        <v>-1000</v>
      </c>
      <c r="N16" s="10">
        <f t="shared" si="1"/>
        <v>98.584106203770361</v>
      </c>
      <c r="O16" s="10">
        <f t="shared" si="2"/>
        <v>101.1380697444755</v>
      </c>
      <c r="P16" s="10">
        <v>100</v>
      </c>
      <c r="Q16" s="34"/>
      <c r="R16" s="39"/>
      <c r="S16" s="11"/>
      <c r="T16" s="11"/>
      <c r="U16" s="11"/>
      <c r="V16" s="11"/>
      <c r="W16" s="11"/>
      <c r="X16" s="11"/>
      <c r="Y16" s="11"/>
      <c r="Z16" s="56"/>
      <c r="AA16" s="34"/>
      <c r="AB16" s="21" t="s">
        <v>58</v>
      </c>
      <c r="AC16" s="10" t="s">
        <v>56</v>
      </c>
      <c r="AD16" s="10">
        <v>22.506376714419801</v>
      </c>
      <c r="AE16" s="10">
        <v>0.202565098700005</v>
      </c>
      <c r="AF16" s="10">
        <v>0.202565098700005</v>
      </c>
      <c r="AJ16" s="54" t="s">
        <v>193</v>
      </c>
      <c r="AK16" s="54"/>
      <c r="AL16" s="54">
        <f>-AL14/(AK7-AL7)</f>
        <v>18.260364906400078</v>
      </c>
      <c r="AM16" s="54">
        <f>-AL14/(AK7)</f>
        <v>15.886842252810872</v>
      </c>
    </row>
    <row r="17" spans="2:32" ht="11.25" customHeight="1" x14ac:dyDescent="0.35">
      <c r="B17" s="24"/>
      <c r="C17" s="21">
        <v>2003</v>
      </c>
      <c r="D17" s="10">
        <v>1</v>
      </c>
      <c r="E17" s="10" t="s">
        <v>82</v>
      </c>
      <c r="F17" s="10">
        <v>2003</v>
      </c>
      <c r="G17" s="10">
        <v>98.710797773327002</v>
      </c>
      <c r="H17" s="10">
        <v>101.963687772301</v>
      </c>
      <c r="I17" s="10">
        <v>102.466348855696</v>
      </c>
      <c r="J17" s="10">
        <v>103.830812958102</v>
      </c>
      <c r="K17" s="10">
        <v>97.710648761557906</v>
      </c>
      <c r="L17" s="10">
        <v>106.05640566620001</v>
      </c>
      <c r="M17" s="10">
        <v>-1000</v>
      </c>
      <c r="N17" s="10">
        <f t="shared" si="1"/>
        <v>98.455388585931303</v>
      </c>
      <c r="O17" s="10">
        <f t="shared" si="2"/>
        <v>101.24153063033691</v>
      </c>
      <c r="P17" s="10">
        <v>100</v>
      </c>
      <c r="Q17" s="34"/>
      <c r="R17" s="39"/>
      <c r="S17" s="10"/>
      <c r="T17" s="11"/>
      <c r="U17" s="11"/>
      <c r="V17" s="11"/>
      <c r="W17" s="11"/>
      <c r="X17" s="11"/>
      <c r="Y17" s="11"/>
      <c r="Z17" s="56"/>
      <c r="AA17" s="34"/>
      <c r="AB17" s="21" t="s">
        <v>58</v>
      </c>
      <c r="AC17" s="10" t="s">
        <v>57</v>
      </c>
      <c r="AD17" s="10">
        <v>30.182630199020601</v>
      </c>
      <c r="AE17" s="10">
        <v>0.34423294875548899</v>
      </c>
      <c r="AF17" s="10">
        <v>0.14166785005548399</v>
      </c>
    </row>
    <row r="18" spans="2:32" ht="11.25" customHeight="1" x14ac:dyDescent="0.35">
      <c r="B18" s="24"/>
      <c r="C18" s="7">
        <v>2003</v>
      </c>
      <c r="D18" s="10">
        <v>2</v>
      </c>
      <c r="E18" s="10" t="s">
        <v>83</v>
      </c>
      <c r="F18" s="10">
        <v>2003.25</v>
      </c>
      <c r="G18" s="10">
        <v>98.598908778097197</v>
      </c>
      <c r="H18" s="10">
        <v>101.731439394304</v>
      </c>
      <c r="I18" s="10">
        <v>102.392720172016</v>
      </c>
      <c r="J18" s="10">
        <v>103.120129091591</v>
      </c>
      <c r="K18" s="10">
        <v>97.676836174123494</v>
      </c>
      <c r="L18" s="10">
        <v>105.92427727571</v>
      </c>
      <c r="M18" s="10">
        <v>-1000</v>
      </c>
      <c r="N18" s="10">
        <f t="shared" si="1"/>
        <v>98.326670968092245</v>
      </c>
      <c r="O18" s="10">
        <f t="shared" si="2"/>
        <v>101.34499151619832</v>
      </c>
      <c r="P18" s="10">
        <v>100</v>
      </c>
      <c r="Q18" s="34"/>
      <c r="R18" s="27"/>
      <c r="S18" s="10"/>
      <c r="T18" s="10"/>
      <c r="U18" s="10"/>
      <c r="V18" s="10"/>
      <c r="W18" s="10"/>
      <c r="X18" s="10"/>
      <c r="Y18" s="10"/>
      <c r="Z18" s="56"/>
      <c r="AA18" s="34"/>
      <c r="AB18" s="21" t="s">
        <v>58</v>
      </c>
      <c r="AC18" s="11" t="s">
        <v>59</v>
      </c>
      <c r="AD18" s="52">
        <v>38.773324622061402</v>
      </c>
      <c r="AE18" s="52">
        <v>0.482973302622415</v>
      </c>
      <c r="AF18" s="52">
        <v>0.13874035386692601</v>
      </c>
    </row>
    <row r="19" spans="2:32" ht="11.25" customHeight="1" x14ac:dyDescent="0.35">
      <c r="B19" s="24"/>
      <c r="C19" s="7">
        <v>2003</v>
      </c>
      <c r="D19" s="10">
        <v>3</v>
      </c>
      <c r="E19" s="10" t="s">
        <v>84</v>
      </c>
      <c r="F19" s="10">
        <v>2003.5</v>
      </c>
      <c r="G19" s="10">
        <v>97.638439301841103</v>
      </c>
      <c r="H19" s="10">
        <v>102.15943398856299</v>
      </c>
      <c r="I19" s="10">
        <v>103.613816725387</v>
      </c>
      <c r="J19" s="10">
        <v>104.233776502347</v>
      </c>
      <c r="K19" s="10">
        <v>96.241079232910096</v>
      </c>
      <c r="L19" s="10">
        <v>106.25158822662399</v>
      </c>
      <c r="M19" s="10">
        <v>-1000</v>
      </c>
      <c r="N19" s="10">
        <f t="shared" si="1"/>
        <v>98.197953350253186</v>
      </c>
      <c r="O19" s="10">
        <f t="shared" si="2"/>
        <v>101.44845240205973</v>
      </c>
      <c r="P19" s="10">
        <v>100</v>
      </c>
      <c r="Q19" s="34"/>
      <c r="R19" s="27"/>
      <c r="S19" s="10"/>
      <c r="T19" s="10"/>
      <c r="U19" s="10"/>
      <c r="V19" s="10"/>
      <c r="W19" s="10"/>
      <c r="X19" s="10"/>
      <c r="Y19" s="10"/>
      <c r="Z19" s="56"/>
      <c r="AA19" s="34"/>
      <c r="AB19" s="21" t="s">
        <v>58</v>
      </c>
      <c r="AC19" s="11" t="s">
        <v>60</v>
      </c>
      <c r="AD19" s="52">
        <v>45.651064917697298</v>
      </c>
      <c r="AE19" s="52">
        <v>0.55433770793021897</v>
      </c>
      <c r="AF19" s="52">
        <v>7.1364405307803969E-2</v>
      </c>
    </row>
    <row r="20" spans="2:32" ht="11.25" customHeight="1" x14ac:dyDescent="0.35">
      <c r="B20" s="24"/>
      <c r="C20" s="7">
        <v>2003</v>
      </c>
      <c r="D20" s="10">
        <v>4</v>
      </c>
      <c r="E20" s="10" t="s">
        <v>85</v>
      </c>
      <c r="F20" s="10">
        <v>2003.75</v>
      </c>
      <c r="G20" s="10">
        <v>96.301297591922406</v>
      </c>
      <c r="H20" s="10">
        <v>102.60718007932699</v>
      </c>
      <c r="I20" s="10">
        <v>103.44841194260501</v>
      </c>
      <c r="J20" s="10">
        <v>104.35882607344</v>
      </c>
      <c r="K20" s="10">
        <v>97.6469009560671</v>
      </c>
      <c r="L20" s="10">
        <v>107.535784442205</v>
      </c>
      <c r="M20" s="10">
        <v>-1000</v>
      </c>
      <c r="N20" s="10">
        <f t="shared" si="1"/>
        <v>98.069235732414128</v>
      </c>
      <c r="O20" s="10">
        <f t="shared" si="2"/>
        <v>101.55191328792114</v>
      </c>
      <c r="P20" s="10">
        <v>100</v>
      </c>
      <c r="Q20" s="34"/>
      <c r="R20" s="27"/>
      <c r="S20" s="10"/>
      <c r="T20" s="10"/>
      <c r="U20" s="10"/>
      <c r="V20" s="10"/>
      <c r="W20" s="10"/>
      <c r="X20" s="10"/>
      <c r="Y20" s="10"/>
      <c r="Z20" s="56"/>
      <c r="AA20" s="34"/>
      <c r="AB20" s="21" t="s">
        <v>58</v>
      </c>
      <c r="AC20" s="11" t="s">
        <v>61</v>
      </c>
      <c r="AD20" s="52">
        <v>55.619294552965201</v>
      </c>
      <c r="AE20" s="52">
        <v>0.58333656344821705</v>
      </c>
      <c r="AF20" s="52">
        <v>2.8998855517998079E-2</v>
      </c>
    </row>
    <row r="21" spans="2:32" ht="11.25" customHeight="1" x14ac:dyDescent="0.35">
      <c r="B21" s="24"/>
      <c r="C21" s="7">
        <v>2004</v>
      </c>
      <c r="D21" s="10">
        <v>1</v>
      </c>
      <c r="E21" s="10" t="s">
        <v>86</v>
      </c>
      <c r="F21" s="10">
        <v>2004</v>
      </c>
      <c r="G21" s="10">
        <v>96.625733780814997</v>
      </c>
      <c r="H21" s="10">
        <v>102.74316351902</v>
      </c>
      <c r="I21" s="10">
        <v>102.87391057092201</v>
      </c>
      <c r="J21" s="10">
        <v>105.230722252305</v>
      </c>
      <c r="K21" s="10">
        <v>98.022554061673901</v>
      </c>
      <c r="L21" s="10">
        <v>107.980980961502</v>
      </c>
      <c r="M21" s="10">
        <v>-1000</v>
      </c>
      <c r="N21" s="10">
        <f t="shared" si="1"/>
        <v>97.94051811457507</v>
      </c>
      <c r="O21" s="10">
        <f t="shared" si="2"/>
        <v>101.65537417378255</v>
      </c>
      <c r="P21" s="10">
        <v>100</v>
      </c>
      <c r="Q21" s="34"/>
      <c r="R21" s="27"/>
      <c r="S21" s="10"/>
      <c r="T21" s="10"/>
      <c r="U21" s="10"/>
      <c r="V21" s="10"/>
      <c r="W21" s="10"/>
      <c r="X21" s="10"/>
      <c r="Y21" s="10"/>
      <c r="Z21" s="56"/>
      <c r="AA21" s="34"/>
      <c r="AB21" s="21" t="s">
        <v>58</v>
      </c>
      <c r="AC21" s="11" t="s">
        <v>62</v>
      </c>
      <c r="AD21" s="52">
        <v>62.106454667010802</v>
      </c>
      <c r="AE21" s="52">
        <v>0.56184542349035604</v>
      </c>
      <c r="AF21" s="52">
        <v>-2.1491139957861005E-2</v>
      </c>
    </row>
    <row r="22" spans="2:32" ht="11.25" customHeight="1" x14ac:dyDescent="0.35">
      <c r="B22" s="24"/>
      <c r="C22" s="7">
        <v>2004</v>
      </c>
      <c r="D22" s="10">
        <v>2</v>
      </c>
      <c r="E22" s="10" t="s">
        <v>87</v>
      </c>
      <c r="F22" s="10">
        <v>2004.25</v>
      </c>
      <c r="G22" s="10">
        <v>96.535559039695102</v>
      </c>
      <c r="H22" s="10">
        <v>103.53331663564499</v>
      </c>
      <c r="I22" s="10">
        <v>104.26139446265</v>
      </c>
      <c r="J22" s="10">
        <v>105.599735315613</v>
      </c>
      <c r="K22" s="10">
        <v>98.731974842360302</v>
      </c>
      <c r="L22" s="10">
        <v>107.53022138359999</v>
      </c>
      <c r="M22" s="10">
        <v>-1000</v>
      </c>
      <c r="N22" s="10">
        <f t="shared" si="1"/>
        <v>97.811800496736012</v>
      </c>
      <c r="O22" s="10">
        <f t="shared" si="2"/>
        <v>101.75883505964396</v>
      </c>
      <c r="P22" s="10">
        <v>100</v>
      </c>
      <c r="Q22" s="34"/>
      <c r="R22" s="27"/>
      <c r="S22" s="10"/>
      <c r="T22" s="10"/>
      <c r="U22" s="10"/>
      <c r="V22" s="10"/>
      <c r="W22" s="10"/>
      <c r="X22" s="10"/>
      <c r="Y22" s="10"/>
      <c r="Z22" s="56"/>
      <c r="AA22" s="34"/>
      <c r="AB22" s="21" t="s">
        <v>58</v>
      </c>
      <c r="AC22" s="11" t="s">
        <v>63</v>
      </c>
      <c r="AD22" s="52">
        <v>69.802411347012693</v>
      </c>
      <c r="AE22" s="52">
        <v>0.53637057900306395</v>
      </c>
      <c r="AF22" s="52">
        <v>-2.5474844487292092E-2</v>
      </c>
    </row>
    <row r="23" spans="2:32" ht="11.25" customHeight="1" x14ac:dyDescent="0.35">
      <c r="B23" s="24"/>
      <c r="C23" s="7">
        <v>2004</v>
      </c>
      <c r="D23" s="10">
        <v>3</v>
      </c>
      <c r="E23" s="10" t="s">
        <v>88</v>
      </c>
      <c r="F23" s="10">
        <v>2004.5</v>
      </c>
      <c r="G23" s="10">
        <v>96.550457846357503</v>
      </c>
      <c r="H23" s="10">
        <v>103.050675580663</v>
      </c>
      <c r="I23" s="10">
        <v>103.417253784552</v>
      </c>
      <c r="J23" s="10">
        <v>105.158338309134</v>
      </c>
      <c r="K23" s="10">
        <v>98.230464372746297</v>
      </c>
      <c r="L23" s="10">
        <v>108.604684747558</v>
      </c>
      <c r="M23" s="10">
        <v>-1000</v>
      </c>
      <c r="N23" s="10">
        <f t="shared" si="1"/>
        <v>97.683082878896954</v>
      </c>
      <c r="O23" s="10">
        <f t="shared" si="2"/>
        <v>101.86229594550537</v>
      </c>
      <c r="P23" s="10">
        <v>100</v>
      </c>
      <c r="Q23" s="34"/>
      <c r="R23" s="27"/>
      <c r="S23" s="10"/>
      <c r="T23" s="10"/>
      <c r="U23" s="10"/>
      <c r="V23" s="10"/>
      <c r="W23" s="10"/>
      <c r="X23" s="10"/>
      <c r="Y23" s="10"/>
      <c r="Z23" s="56"/>
      <c r="AA23" s="34"/>
      <c r="AB23" s="21" t="s">
        <v>58</v>
      </c>
      <c r="AC23" s="11" t="s">
        <v>64</v>
      </c>
      <c r="AD23" s="52">
        <v>89.846126457679006</v>
      </c>
      <c r="AE23" s="52">
        <v>0.42968805082758499</v>
      </c>
      <c r="AF23" s="52">
        <v>-0.10668252817547896</v>
      </c>
    </row>
    <row r="24" spans="2:32" ht="11.25" customHeight="1" x14ac:dyDescent="0.35">
      <c r="B24" s="24"/>
      <c r="C24" s="7">
        <v>2004</v>
      </c>
      <c r="D24" s="10">
        <v>4</v>
      </c>
      <c r="E24" s="10" t="s">
        <v>89</v>
      </c>
      <c r="F24" s="10">
        <v>2004.75</v>
      </c>
      <c r="G24" s="10">
        <v>96.403970046944494</v>
      </c>
      <c r="H24" s="10">
        <v>103.24999696723199</v>
      </c>
      <c r="I24" s="10">
        <v>103.469510484715</v>
      </c>
      <c r="J24" s="10">
        <v>106.034546828274</v>
      </c>
      <c r="K24" s="10">
        <v>97.868659301790302</v>
      </c>
      <c r="L24" s="10">
        <v>109.13092956054</v>
      </c>
      <c r="M24" s="10">
        <v>-1000</v>
      </c>
      <c r="N24" s="10">
        <f t="shared" si="1"/>
        <v>97.554365261057896</v>
      </c>
      <c r="O24" s="10">
        <f t="shared" si="2"/>
        <v>101.96575683136678</v>
      </c>
      <c r="P24" s="10">
        <v>100</v>
      </c>
      <c r="Q24" s="34"/>
      <c r="R24" s="27"/>
      <c r="S24" s="10"/>
      <c r="T24" s="10"/>
      <c r="U24" s="10"/>
      <c r="V24" s="10"/>
      <c r="W24" s="10"/>
      <c r="X24" s="10"/>
      <c r="Y24" s="10"/>
      <c r="Z24" s="56"/>
      <c r="AA24" s="34"/>
      <c r="AB24" s="21" t="s">
        <v>58</v>
      </c>
      <c r="AC24" s="11" t="s">
        <v>65</v>
      </c>
      <c r="AD24" s="52">
        <v>100</v>
      </c>
      <c r="AE24" s="52">
        <v>0.26242496197538601</v>
      </c>
      <c r="AF24" s="52">
        <v>-0.16726308885219898</v>
      </c>
    </row>
    <row r="25" spans="2:32" ht="11.25" customHeight="1" x14ac:dyDescent="0.35">
      <c r="B25" s="24"/>
      <c r="C25" s="7">
        <v>2005</v>
      </c>
      <c r="D25" s="10">
        <v>1</v>
      </c>
      <c r="E25" s="10" t="s">
        <v>90</v>
      </c>
      <c r="F25" s="10">
        <v>2005</v>
      </c>
      <c r="G25" s="10">
        <v>97.056607991932594</v>
      </c>
      <c r="H25" s="10">
        <v>103.831076250534</v>
      </c>
      <c r="I25" s="10">
        <v>105.17032098839</v>
      </c>
      <c r="J25" s="10">
        <v>105.537096614544</v>
      </c>
      <c r="K25" s="10">
        <v>97.676151725627406</v>
      </c>
      <c r="L25" s="10">
        <v>110.211136591081</v>
      </c>
      <c r="M25" s="10">
        <v>-1000</v>
      </c>
      <c r="N25" s="10">
        <f t="shared" si="1"/>
        <v>97.425647643218838</v>
      </c>
      <c r="O25" s="10">
        <f t="shared" si="2"/>
        <v>102.06921771722818</v>
      </c>
      <c r="P25" s="10">
        <v>100</v>
      </c>
      <c r="Q25" s="34"/>
      <c r="R25" s="27"/>
      <c r="S25" s="10"/>
      <c r="T25" s="10"/>
      <c r="U25" s="10"/>
      <c r="V25" s="10"/>
      <c r="W25" s="10"/>
      <c r="X25" s="10"/>
      <c r="Y25" s="10"/>
      <c r="Z25" s="10"/>
      <c r="AA25" s="34"/>
      <c r="AB25" s="27"/>
      <c r="AC25" s="11"/>
      <c r="AD25" s="11"/>
      <c r="AE25" s="11"/>
      <c r="AF25" s="11"/>
    </row>
    <row r="26" spans="2:32" ht="11.25" customHeight="1" x14ac:dyDescent="0.35">
      <c r="B26" s="24"/>
      <c r="C26" s="7">
        <v>2005</v>
      </c>
      <c r="D26" s="10">
        <v>2</v>
      </c>
      <c r="E26" s="10" t="s">
        <v>91</v>
      </c>
      <c r="F26" s="10">
        <v>2005.25</v>
      </c>
      <c r="G26" s="10">
        <v>95.933237691966397</v>
      </c>
      <c r="H26" s="10">
        <v>104.001673605044</v>
      </c>
      <c r="I26" s="10">
        <v>105.147705923247</v>
      </c>
      <c r="J26" s="10">
        <v>105.616377139744</v>
      </c>
      <c r="K26" s="10">
        <v>98.464676138703595</v>
      </c>
      <c r="L26" s="10">
        <v>109.646599120292</v>
      </c>
      <c r="M26" s="10">
        <v>-1000</v>
      </c>
      <c r="N26" s="10">
        <f t="shared" si="1"/>
        <v>97.29693002537978</v>
      </c>
      <c r="O26" s="10">
        <f t="shared" si="2"/>
        <v>102.17267860308959</v>
      </c>
      <c r="P26" s="10">
        <v>100</v>
      </c>
      <c r="Q26" s="34"/>
      <c r="R26" s="27"/>
      <c r="S26" s="10"/>
      <c r="T26" s="10"/>
      <c r="U26" s="10"/>
      <c r="V26" s="10"/>
      <c r="W26" s="10"/>
      <c r="X26" s="10"/>
      <c r="Y26" s="10"/>
      <c r="Z26" s="10"/>
      <c r="AA26" s="34"/>
      <c r="AB26" s="27"/>
      <c r="AC26" s="11"/>
      <c r="AD26" s="11"/>
      <c r="AE26" s="11"/>
      <c r="AF26" s="11"/>
    </row>
    <row r="27" spans="2:32" ht="11.25" customHeight="1" x14ac:dyDescent="0.35">
      <c r="B27" s="24"/>
      <c r="C27" s="7">
        <v>2005</v>
      </c>
      <c r="D27" s="10">
        <v>3</v>
      </c>
      <c r="E27" s="10" t="s">
        <v>92</v>
      </c>
      <c r="F27" s="10">
        <v>2005.5</v>
      </c>
      <c r="G27" s="10">
        <v>96.004074386003595</v>
      </c>
      <c r="H27" s="10">
        <v>104.571881613703</v>
      </c>
      <c r="I27" s="10">
        <v>105.526093377576</v>
      </c>
      <c r="J27" s="10">
        <v>105.921637494484</v>
      </c>
      <c r="K27" s="10">
        <v>99.431731089987906</v>
      </c>
      <c r="L27" s="10">
        <v>110.669497596016</v>
      </c>
      <c r="M27" s="10">
        <v>-1000</v>
      </c>
      <c r="N27" s="10">
        <f t="shared" si="1"/>
        <v>97.168212407540722</v>
      </c>
      <c r="O27" s="10">
        <f t="shared" si="2"/>
        <v>102.276139488951</v>
      </c>
      <c r="P27" s="10">
        <v>100</v>
      </c>
      <c r="Q27" s="34"/>
      <c r="R27" s="27"/>
      <c r="S27" s="10"/>
      <c r="T27" s="10"/>
      <c r="U27" s="10"/>
      <c r="V27" s="10"/>
      <c r="W27" s="10"/>
      <c r="X27" s="10"/>
      <c r="Y27" s="10"/>
      <c r="Z27" s="10"/>
      <c r="AA27" s="34"/>
      <c r="AB27" s="27"/>
      <c r="AC27" s="11"/>
      <c r="AD27" s="11"/>
      <c r="AE27" s="11"/>
      <c r="AF27" s="11"/>
    </row>
    <row r="28" spans="2:32" ht="11.25" customHeight="1" x14ac:dyDescent="0.35">
      <c r="B28" s="24"/>
      <c r="C28" s="7">
        <v>2005</v>
      </c>
      <c r="D28" s="10">
        <v>4</v>
      </c>
      <c r="E28" s="10" t="s">
        <v>93</v>
      </c>
      <c r="F28" s="10">
        <v>2005.75</v>
      </c>
      <c r="G28" s="10">
        <v>96.011351723413796</v>
      </c>
      <c r="H28" s="10">
        <v>104.596802154637</v>
      </c>
      <c r="I28" s="10">
        <v>105.34335084209501</v>
      </c>
      <c r="J28" s="10">
        <v>106.906348911869</v>
      </c>
      <c r="K28" s="10">
        <v>98.602980680604901</v>
      </c>
      <c r="L28" s="10">
        <v>111.335290445746</v>
      </c>
      <c r="M28" s="10">
        <v>-1000</v>
      </c>
      <c r="N28" s="10">
        <f t="shared" si="1"/>
        <v>97.039494789701664</v>
      </c>
      <c r="O28" s="10">
        <f t="shared" si="2"/>
        <v>102.37960037481241</v>
      </c>
      <c r="P28" s="10">
        <v>100</v>
      </c>
      <c r="Q28" s="34"/>
      <c r="R28" s="27"/>
      <c r="S28" s="10"/>
      <c r="T28" s="10"/>
      <c r="U28" s="10"/>
      <c r="V28" s="10"/>
      <c r="W28" s="10"/>
      <c r="X28" s="10"/>
      <c r="Y28" s="10"/>
      <c r="Z28" s="10"/>
      <c r="AA28" s="34"/>
      <c r="AB28" s="27"/>
      <c r="AC28" s="11"/>
      <c r="AD28" s="11"/>
      <c r="AE28" s="11"/>
      <c r="AF28" s="11"/>
    </row>
    <row r="29" spans="2:32" ht="11.25" customHeight="1" x14ac:dyDescent="0.35">
      <c r="B29" s="24"/>
      <c r="C29" s="7">
        <v>2006</v>
      </c>
      <c r="D29" s="10">
        <v>1</v>
      </c>
      <c r="E29" s="10" t="s">
        <v>94</v>
      </c>
      <c r="F29" s="10">
        <v>2006</v>
      </c>
      <c r="G29" s="10">
        <v>95.740386285994902</v>
      </c>
      <c r="H29" s="10">
        <v>105.12257539709999</v>
      </c>
      <c r="I29" s="10">
        <v>106.43188555986499</v>
      </c>
      <c r="J29" s="10">
        <v>107.606499469824</v>
      </c>
      <c r="K29" s="10">
        <v>98.274351462828093</v>
      </c>
      <c r="L29" s="10">
        <v>111.391620635035</v>
      </c>
      <c r="M29" s="10">
        <v>-1000</v>
      </c>
      <c r="N29" s="10">
        <f t="shared" si="1"/>
        <v>96.910777171862605</v>
      </c>
      <c r="O29" s="10">
        <f t="shared" si="2"/>
        <v>102.48306126067382</v>
      </c>
      <c r="P29" s="10">
        <v>100</v>
      </c>
      <c r="Q29" s="34"/>
      <c r="R29" s="27"/>
      <c r="S29" s="10"/>
      <c r="T29" s="10"/>
      <c r="U29" s="10"/>
      <c r="V29" s="10"/>
      <c r="W29" s="10"/>
      <c r="X29" s="10"/>
      <c r="Y29" s="10"/>
      <c r="Z29" s="10"/>
      <c r="AA29" s="34"/>
      <c r="AB29" s="27"/>
      <c r="AC29" s="11"/>
      <c r="AD29" s="11"/>
      <c r="AE29" s="11"/>
      <c r="AF29" s="11"/>
    </row>
    <row r="30" spans="2:32" ht="11.25" customHeight="1" x14ac:dyDescent="0.35">
      <c r="B30" s="24"/>
      <c r="C30" s="7">
        <v>2006</v>
      </c>
      <c r="D30" s="10">
        <v>2</v>
      </c>
      <c r="E30" s="10" t="s">
        <v>95</v>
      </c>
      <c r="F30" s="10">
        <v>2006.25</v>
      </c>
      <c r="G30" s="10">
        <v>96.061615700464799</v>
      </c>
      <c r="H30" s="10">
        <v>105.641154535216</v>
      </c>
      <c r="I30" s="10">
        <v>107.072711898797</v>
      </c>
      <c r="J30" s="10">
        <v>108.743424078636</v>
      </c>
      <c r="K30" s="10">
        <v>97.454224590437803</v>
      </c>
      <c r="L30" s="10">
        <v>113.57054957161699</v>
      </c>
      <c r="M30" s="10">
        <v>-1000</v>
      </c>
      <c r="N30" s="10">
        <f t="shared" si="1"/>
        <v>96.782059554023547</v>
      </c>
      <c r="O30" s="10">
        <f t="shared" si="2"/>
        <v>102.58652214653523</v>
      </c>
      <c r="P30" s="10">
        <v>100</v>
      </c>
      <c r="Q30" s="34"/>
      <c r="R30" s="27"/>
      <c r="S30" s="10"/>
      <c r="T30" s="10"/>
      <c r="U30" s="10"/>
      <c r="V30" s="10"/>
      <c r="W30" s="10"/>
      <c r="X30" s="10"/>
      <c r="Y30" s="10"/>
      <c r="Z30" s="10"/>
      <c r="AA30" s="34"/>
      <c r="AB30" s="27"/>
      <c r="AC30" s="11"/>
      <c r="AD30" s="11"/>
      <c r="AE30" s="11"/>
      <c r="AF30" s="11"/>
    </row>
    <row r="31" spans="2:32" ht="11.25" customHeight="1" x14ac:dyDescent="0.35">
      <c r="B31" s="24"/>
      <c r="C31" s="7">
        <v>2006</v>
      </c>
      <c r="D31" s="10">
        <v>3</v>
      </c>
      <c r="E31" s="10" t="s">
        <v>96</v>
      </c>
      <c r="F31" s="10">
        <v>2006.5</v>
      </c>
      <c r="G31" s="10">
        <v>95.870983344321999</v>
      </c>
      <c r="H31" s="10">
        <v>105.156660283576</v>
      </c>
      <c r="I31" s="10">
        <v>107.31092526182699</v>
      </c>
      <c r="J31" s="10">
        <v>107.80074142111</v>
      </c>
      <c r="K31" s="10">
        <v>96.759549441617906</v>
      </c>
      <c r="L31" s="10">
        <v>111.793539401865</v>
      </c>
      <c r="M31" s="10">
        <v>-1000</v>
      </c>
      <c r="N31" s="10">
        <f t="shared" si="1"/>
        <v>96.653341936184489</v>
      </c>
      <c r="O31" s="10">
        <f t="shared" si="2"/>
        <v>102.68998303239664</v>
      </c>
      <c r="P31" s="10">
        <v>100</v>
      </c>
      <c r="Q31" s="34"/>
      <c r="R31" s="27"/>
      <c r="S31" s="10"/>
      <c r="T31" s="10"/>
      <c r="U31" s="10"/>
      <c r="V31" s="10"/>
      <c r="W31" s="10"/>
      <c r="X31" s="10"/>
      <c r="Y31" s="10"/>
      <c r="Z31" s="10"/>
      <c r="AA31" s="34"/>
      <c r="AB31" s="27"/>
      <c r="AC31" s="11"/>
      <c r="AD31" s="11"/>
      <c r="AE31" s="11"/>
      <c r="AF31" s="11"/>
    </row>
    <row r="32" spans="2:32" ht="11.25" customHeight="1" x14ac:dyDescent="0.35">
      <c r="B32" s="24"/>
      <c r="C32" s="7">
        <v>2006</v>
      </c>
      <c r="D32" s="10">
        <v>4</v>
      </c>
      <c r="E32" s="10" t="s">
        <v>97</v>
      </c>
      <c r="F32" s="10">
        <v>2006.75</v>
      </c>
      <c r="G32" s="10">
        <v>96.149765573249994</v>
      </c>
      <c r="H32" s="10">
        <v>105.62550184149001</v>
      </c>
      <c r="I32" s="10">
        <v>107.62630641186</v>
      </c>
      <c r="J32" s="10">
        <v>107.676974127015</v>
      </c>
      <c r="K32" s="10">
        <v>98.054088342316305</v>
      </c>
      <c r="L32" s="10">
        <v>112.16233402473701</v>
      </c>
      <c r="M32" s="10">
        <v>-1000</v>
      </c>
      <c r="N32" s="10">
        <f t="shared" si="1"/>
        <v>96.524624318345431</v>
      </c>
      <c r="O32" s="10">
        <f t="shared" si="2"/>
        <v>102.79344391825805</v>
      </c>
      <c r="P32" s="10">
        <v>100</v>
      </c>
      <c r="Q32" s="34"/>
      <c r="R32" s="27"/>
      <c r="S32" s="10"/>
      <c r="T32" s="10"/>
      <c r="U32" s="10"/>
      <c r="V32" s="10"/>
      <c r="W32" s="10"/>
      <c r="X32" s="10"/>
      <c r="Y32" s="10"/>
      <c r="Z32" s="10"/>
      <c r="AA32" s="34"/>
      <c r="AB32" s="27"/>
      <c r="AC32" s="11"/>
      <c r="AD32" s="11"/>
      <c r="AE32" s="11"/>
      <c r="AF32" s="11"/>
    </row>
    <row r="33" spans="2:32" ht="11.25" customHeight="1" x14ac:dyDescent="0.35">
      <c r="B33" s="24"/>
      <c r="C33" s="7">
        <v>2007</v>
      </c>
      <c r="D33" s="10">
        <v>1</v>
      </c>
      <c r="E33" s="10" t="s">
        <v>98</v>
      </c>
      <c r="F33" s="10">
        <v>2007</v>
      </c>
      <c r="G33" s="10">
        <v>95.621250000441805</v>
      </c>
      <c r="H33" s="10">
        <v>105.907601067439</v>
      </c>
      <c r="I33" s="10">
        <v>107.468010842748</v>
      </c>
      <c r="J33" s="10">
        <v>108.628039729854</v>
      </c>
      <c r="K33" s="10">
        <v>98.247579869853993</v>
      </c>
      <c r="L33" s="10">
        <v>112.718929723909</v>
      </c>
      <c r="M33" s="10">
        <v>-1000</v>
      </c>
      <c r="N33" s="10">
        <f t="shared" si="1"/>
        <v>96.395906700506373</v>
      </c>
      <c r="O33" s="10">
        <f t="shared" si="2"/>
        <v>102.89690480411946</v>
      </c>
      <c r="P33" s="10">
        <v>100</v>
      </c>
      <c r="Q33" s="34"/>
      <c r="R33" s="27"/>
      <c r="S33" s="10"/>
      <c r="T33" s="10"/>
      <c r="U33" s="10"/>
      <c r="V33" s="10"/>
      <c r="W33" s="10"/>
      <c r="X33" s="10"/>
      <c r="Y33" s="10"/>
      <c r="Z33" s="10"/>
      <c r="AA33" s="34"/>
      <c r="AB33" s="27"/>
      <c r="AC33" s="11"/>
      <c r="AD33" s="11"/>
      <c r="AE33" s="11"/>
      <c r="AF33" s="11"/>
    </row>
    <row r="34" spans="2:32" ht="11.25" customHeight="1" x14ac:dyDescent="0.35">
      <c r="B34" s="24"/>
      <c r="C34" s="7">
        <v>2007</v>
      </c>
      <c r="D34" s="10">
        <v>2</v>
      </c>
      <c r="E34" s="10" t="s">
        <v>99</v>
      </c>
      <c r="F34" s="10">
        <v>2007.25</v>
      </c>
      <c r="G34" s="10">
        <v>95.428276680206395</v>
      </c>
      <c r="H34" s="10">
        <v>105.782377981254</v>
      </c>
      <c r="I34" s="10">
        <v>107.579509649648</v>
      </c>
      <c r="J34" s="10">
        <v>108.80838822411501</v>
      </c>
      <c r="K34" s="10">
        <v>97.528937415869606</v>
      </c>
      <c r="L34" s="10">
        <v>112.414411130754</v>
      </c>
      <c r="M34" s="10">
        <v>-1000</v>
      </c>
      <c r="N34" s="10">
        <f t="shared" si="1"/>
        <v>96.267189082667315</v>
      </c>
      <c r="O34" s="10">
        <f t="shared" si="2"/>
        <v>103.00036568998087</v>
      </c>
      <c r="P34" s="10">
        <v>100</v>
      </c>
      <c r="Q34" s="34"/>
      <c r="R34" s="27"/>
      <c r="S34" s="10"/>
      <c r="T34" s="10"/>
      <c r="U34" s="10"/>
      <c r="V34" s="10"/>
      <c r="W34" s="10"/>
      <c r="X34" s="10"/>
      <c r="Y34" s="10"/>
      <c r="Z34" s="10"/>
      <c r="AA34" s="34"/>
      <c r="AB34" s="27"/>
      <c r="AC34" s="11"/>
      <c r="AD34" s="11"/>
      <c r="AE34" s="11"/>
      <c r="AF34" s="11"/>
    </row>
    <row r="35" spans="2:32" ht="11.25" customHeight="1" x14ac:dyDescent="0.35">
      <c r="B35" s="24"/>
      <c r="C35" s="7">
        <v>2007</v>
      </c>
      <c r="D35" s="10">
        <v>3</v>
      </c>
      <c r="E35" s="10" t="s">
        <v>100</v>
      </c>
      <c r="F35" s="10">
        <v>2007.5</v>
      </c>
      <c r="G35" s="10">
        <v>94.792502861675402</v>
      </c>
      <c r="H35" s="10">
        <v>105.81748679448501</v>
      </c>
      <c r="I35" s="10">
        <v>108.349375043956</v>
      </c>
      <c r="J35" s="10">
        <v>108.38456559933999</v>
      </c>
      <c r="K35" s="10">
        <v>96.466847874532704</v>
      </c>
      <c r="L35" s="10">
        <v>113.779729184077</v>
      </c>
      <c r="M35" s="10">
        <v>-1000</v>
      </c>
      <c r="N35" s="10">
        <f t="shared" si="1"/>
        <v>96.138471464828257</v>
      </c>
      <c r="O35" s="10">
        <f t="shared" si="2"/>
        <v>103.10382657584228</v>
      </c>
      <c r="P35" s="10">
        <v>100</v>
      </c>
      <c r="Q35" s="34"/>
      <c r="R35" s="27"/>
      <c r="S35" s="10"/>
      <c r="T35" s="10"/>
      <c r="U35" s="10"/>
      <c r="V35" s="10"/>
      <c r="W35" s="10"/>
      <c r="X35" s="10"/>
      <c r="Y35" s="10"/>
      <c r="Z35" s="10"/>
      <c r="AA35" s="34"/>
      <c r="AB35" s="27"/>
      <c r="AC35" s="11"/>
      <c r="AD35" s="11"/>
      <c r="AE35" s="11"/>
      <c r="AF35" s="11"/>
    </row>
    <row r="36" spans="2:32" ht="11.25" customHeight="1" x14ac:dyDescent="0.35">
      <c r="B36" s="24"/>
      <c r="C36" s="7">
        <v>2007</v>
      </c>
      <c r="D36" s="10">
        <v>4</v>
      </c>
      <c r="E36" s="10" t="s">
        <v>101</v>
      </c>
      <c r="F36" s="10">
        <v>2007.75</v>
      </c>
      <c r="G36" s="10">
        <v>95.219742423556099</v>
      </c>
      <c r="H36" s="10">
        <v>106.030059031199</v>
      </c>
      <c r="I36" s="10">
        <v>108.639267814246</v>
      </c>
      <c r="J36" s="10">
        <v>108.057261230468</v>
      </c>
      <c r="K36" s="10">
        <v>96.788626493547</v>
      </c>
      <c r="L36" s="10">
        <v>114.879525368307</v>
      </c>
      <c r="M36" s="10">
        <v>-1000</v>
      </c>
      <c r="N36" s="10">
        <f t="shared" si="1"/>
        <v>96.009753846989199</v>
      </c>
      <c r="O36" s="10">
        <f t="shared" si="2"/>
        <v>103.20728746170369</v>
      </c>
      <c r="P36" s="10">
        <v>100</v>
      </c>
      <c r="Q36" s="34"/>
      <c r="R36" s="27"/>
      <c r="S36" s="10"/>
      <c r="T36" s="10"/>
      <c r="U36" s="10"/>
      <c r="V36" s="10"/>
      <c r="W36" s="10"/>
      <c r="X36" s="10"/>
      <c r="Y36" s="10"/>
      <c r="Z36" s="10"/>
      <c r="AA36" s="34"/>
      <c r="AB36" s="27"/>
      <c r="AC36" s="11"/>
      <c r="AD36" s="11"/>
      <c r="AE36" s="11"/>
      <c r="AF36" s="11"/>
    </row>
    <row r="37" spans="2:32" ht="11.25" customHeight="1" x14ac:dyDescent="0.35">
      <c r="B37" s="24"/>
      <c r="C37" s="7">
        <v>2008</v>
      </c>
      <c r="D37" s="10">
        <v>1</v>
      </c>
      <c r="E37" s="10" t="s">
        <v>102</v>
      </c>
      <c r="F37" s="10">
        <v>2008</v>
      </c>
      <c r="G37" s="10">
        <v>94.476675893713505</v>
      </c>
      <c r="H37" s="10">
        <v>106.523689004052</v>
      </c>
      <c r="I37" s="10">
        <v>108.01798756978</v>
      </c>
      <c r="J37" s="10">
        <v>109.310162860253</v>
      </c>
      <c r="K37" s="10">
        <v>98.145043918747007</v>
      </c>
      <c r="L37" s="10">
        <v>115.538812427632</v>
      </c>
      <c r="M37" s="10">
        <v>-1000</v>
      </c>
      <c r="N37" s="10">
        <f t="shared" si="1"/>
        <v>95.881036229150141</v>
      </c>
      <c r="O37" s="10">
        <f t="shared" si="2"/>
        <v>103.3107483475651</v>
      </c>
      <c r="P37" s="10">
        <v>100</v>
      </c>
      <c r="Q37" s="34"/>
      <c r="R37" s="27"/>
      <c r="S37" s="10"/>
      <c r="T37" s="10"/>
      <c r="U37" s="10"/>
      <c r="V37" s="10"/>
      <c r="W37" s="10"/>
      <c r="X37" s="10"/>
      <c r="Y37" s="10"/>
      <c r="Z37" s="10"/>
      <c r="AA37" s="34"/>
      <c r="AB37" s="27"/>
      <c r="AC37" s="11"/>
      <c r="AD37" s="11"/>
      <c r="AE37" s="11"/>
      <c r="AF37" s="11"/>
    </row>
    <row r="38" spans="2:32" ht="11.25" customHeight="1" x14ac:dyDescent="0.35">
      <c r="B38" s="24"/>
      <c r="C38" s="7">
        <v>2008</v>
      </c>
      <c r="D38" s="10">
        <v>2</v>
      </c>
      <c r="E38" s="10" t="s">
        <v>103</v>
      </c>
      <c r="F38" s="10">
        <v>2008.25</v>
      </c>
      <c r="G38" s="10">
        <v>94.327321022115598</v>
      </c>
      <c r="H38" s="10">
        <v>105.91410288697899</v>
      </c>
      <c r="I38" s="10">
        <v>107.636872066809</v>
      </c>
      <c r="J38" s="10">
        <v>108.219129155378</v>
      </c>
      <c r="K38" s="10">
        <v>97.6108664576753</v>
      </c>
      <c r="L38" s="10">
        <v>115.08437582351399</v>
      </c>
      <c r="M38" s="10">
        <v>-1000</v>
      </c>
      <c r="N38" s="10">
        <f t="shared" si="1"/>
        <v>95.752318611311082</v>
      </c>
      <c r="O38" s="10">
        <f t="shared" si="2"/>
        <v>103.4142092334265</v>
      </c>
      <c r="P38" s="10">
        <v>100</v>
      </c>
      <c r="Q38" s="34"/>
      <c r="R38" s="27"/>
      <c r="S38" s="10"/>
      <c r="T38" s="10"/>
      <c r="U38" s="10"/>
      <c r="V38" s="10"/>
      <c r="W38" s="10"/>
      <c r="X38" s="10"/>
      <c r="Y38" s="10"/>
      <c r="Z38" s="10"/>
      <c r="AA38" s="34"/>
      <c r="AB38" s="27"/>
      <c r="AC38" s="11"/>
      <c r="AD38" s="11"/>
      <c r="AE38" s="11"/>
      <c r="AF38" s="11"/>
    </row>
    <row r="39" spans="2:32" ht="11.25" customHeight="1" x14ac:dyDescent="0.35">
      <c r="B39" s="24"/>
      <c r="C39" s="7">
        <v>2008</v>
      </c>
      <c r="D39" s="10">
        <v>3</v>
      </c>
      <c r="E39" s="10" t="s">
        <v>104</v>
      </c>
      <c r="F39" s="10">
        <v>2008.5</v>
      </c>
      <c r="G39" s="10">
        <v>94.811245040411393</v>
      </c>
      <c r="H39" s="10">
        <v>105.00652548242201</v>
      </c>
      <c r="I39" s="10">
        <v>107.5095661691</v>
      </c>
      <c r="J39" s="10">
        <v>107.456967768461</v>
      </c>
      <c r="K39" s="10">
        <v>95.156028051523904</v>
      </c>
      <c r="L39" s="10">
        <v>114.833800598293</v>
      </c>
      <c r="M39" s="10">
        <v>-1000</v>
      </c>
      <c r="N39" s="10">
        <f t="shared" si="1"/>
        <v>95.623600993472024</v>
      </c>
      <c r="O39" s="10">
        <f t="shared" si="2"/>
        <v>103.51767011928791</v>
      </c>
      <c r="P39" s="10">
        <v>100</v>
      </c>
      <c r="Q39" s="34"/>
      <c r="R39" s="27"/>
      <c r="S39" s="10"/>
      <c r="T39" s="10"/>
      <c r="U39" s="10"/>
      <c r="V39" s="10"/>
      <c r="W39" s="10"/>
      <c r="X39" s="10"/>
      <c r="Y39" s="10"/>
      <c r="Z39" s="10"/>
      <c r="AA39" s="34"/>
      <c r="AB39" s="27"/>
      <c r="AC39" s="11"/>
      <c r="AD39" s="11"/>
      <c r="AE39" s="11"/>
      <c r="AF39" s="11"/>
    </row>
    <row r="40" spans="2:32" ht="11.25" customHeight="1" x14ac:dyDescent="0.35">
      <c r="B40" s="24"/>
      <c r="C40" s="7">
        <v>2008</v>
      </c>
      <c r="D40" s="10">
        <v>4</v>
      </c>
      <c r="E40" s="10" t="s">
        <v>105</v>
      </c>
      <c r="F40" s="10">
        <v>2008.75</v>
      </c>
      <c r="G40" s="10">
        <v>94.109562015469095</v>
      </c>
      <c r="H40" s="10">
        <v>103.321108676088</v>
      </c>
      <c r="I40" s="10">
        <v>105.926106468189</v>
      </c>
      <c r="J40" s="10">
        <v>105.743448426987</v>
      </c>
      <c r="K40" s="10">
        <v>93.385211434387102</v>
      </c>
      <c r="L40" s="10">
        <v>113.043525260702</v>
      </c>
      <c r="M40" s="10">
        <v>-1000</v>
      </c>
      <c r="N40" s="10">
        <f t="shared" si="1"/>
        <v>95.494883375632966</v>
      </c>
      <c r="O40" s="10">
        <f t="shared" si="2"/>
        <v>103.62113100514932</v>
      </c>
      <c r="P40" s="10">
        <v>100</v>
      </c>
      <c r="Q40" s="34"/>
      <c r="R40" s="27"/>
      <c r="S40" s="10"/>
      <c r="T40" s="10"/>
      <c r="U40" s="10"/>
      <c r="V40" s="10"/>
      <c r="W40" s="10"/>
      <c r="X40" s="10"/>
      <c r="Y40" s="10"/>
      <c r="Z40" s="10"/>
      <c r="AA40" s="34"/>
      <c r="AB40" s="27"/>
      <c r="AC40" s="11"/>
      <c r="AD40" s="11"/>
      <c r="AE40" s="11"/>
      <c r="AF40" s="11"/>
    </row>
    <row r="41" spans="2:32" ht="11.25" customHeight="1" x14ac:dyDescent="0.35">
      <c r="B41" s="24"/>
      <c r="C41" s="7">
        <v>2009</v>
      </c>
      <c r="D41" s="10">
        <v>1</v>
      </c>
      <c r="E41" s="10" t="s">
        <v>106</v>
      </c>
      <c r="F41" s="10">
        <v>2009</v>
      </c>
      <c r="G41" s="10">
        <v>94.665522030803601</v>
      </c>
      <c r="H41" s="10">
        <v>101.88201730172</v>
      </c>
      <c r="I41" s="10">
        <v>103.677576987742</v>
      </c>
      <c r="J41" s="10">
        <v>104.265341090736</v>
      </c>
      <c r="K41" s="10">
        <v>92.972543304472794</v>
      </c>
      <c r="L41" s="10">
        <v>112.18823997609999</v>
      </c>
      <c r="M41" s="10">
        <v>-1000</v>
      </c>
      <c r="N41" s="10">
        <f t="shared" si="1"/>
        <v>95.366165757793908</v>
      </c>
      <c r="O41" s="10">
        <f t="shared" si="2"/>
        <v>103.72459189101073</v>
      </c>
      <c r="P41" s="10">
        <v>100</v>
      </c>
      <c r="Q41" s="34"/>
      <c r="R41" s="27"/>
      <c r="S41" s="10"/>
      <c r="T41" s="10"/>
      <c r="U41" s="10"/>
      <c r="V41" s="10"/>
      <c r="W41" s="10"/>
      <c r="X41" s="10"/>
      <c r="Y41" s="10"/>
      <c r="Z41" s="10"/>
      <c r="AA41" s="34"/>
      <c r="AB41" s="27"/>
      <c r="AC41" s="11"/>
      <c r="AD41" s="11"/>
      <c r="AE41" s="11"/>
      <c r="AF41" s="11"/>
    </row>
    <row r="42" spans="2:32" ht="11.25" customHeight="1" x14ac:dyDescent="0.35">
      <c r="B42" s="24"/>
      <c r="C42" s="7">
        <v>2009</v>
      </c>
      <c r="D42" s="10">
        <v>2</v>
      </c>
      <c r="E42" s="10" t="s">
        <v>107</v>
      </c>
      <c r="F42" s="10">
        <v>2009.25</v>
      </c>
      <c r="G42" s="10">
        <v>95.991234998068407</v>
      </c>
      <c r="H42" s="10">
        <v>104.32701820756</v>
      </c>
      <c r="I42" s="10">
        <v>107.568184318077</v>
      </c>
      <c r="J42" s="10">
        <v>105.96793831132599</v>
      </c>
      <c r="K42" s="10">
        <v>94.527679207409804</v>
      </c>
      <c r="L42" s="10">
        <v>113.24698685225501</v>
      </c>
      <c r="M42" s="10">
        <v>-1000</v>
      </c>
      <c r="N42" s="10">
        <f t="shared" si="1"/>
        <v>95.23744813995485</v>
      </c>
      <c r="O42" s="10">
        <f t="shared" si="2"/>
        <v>103.82805277687214</v>
      </c>
      <c r="P42" s="10">
        <v>100</v>
      </c>
      <c r="Q42" s="34"/>
      <c r="R42" s="27"/>
      <c r="S42" s="10"/>
      <c r="T42" s="10"/>
      <c r="U42" s="10"/>
      <c r="V42" s="10"/>
      <c r="W42" s="10"/>
      <c r="X42" s="10"/>
      <c r="Y42" s="10"/>
      <c r="Z42" s="10"/>
      <c r="AA42" s="34"/>
      <c r="AB42" s="27"/>
      <c r="AC42" s="11"/>
      <c r="AD42" s="11"/>
      <c r="AE42" s="11"/>
      <c r="AF42" s="11"/>
    </row>
    <row r="43" spans="2:32" ht="11.25" customHeight="1" x14ac:dyDescent="0.35">
      <c r="B43" s="24"/>
      <c r="C43" s="7">
        <v>2009</v>
      </c>
      <c r="D43" s="10">
        <v>3</v>
      </c>
      <c r="E43" s="10" t="s">
        <v>108</v>
      </c>
      <c r="F43" s="10">
        <v>2009.5</v>
      </c>
      <c r="G43" s="10">
        <v>96.573513282173494</v>
      </c>
      <c r="H43" s="10">
        <v>104.68190238955199</v>
      </c>
      <c r="I43" s="10">
        <v>108.141351474494</v>
      </c>
      <c r="J43" s="10">
        <v>105.851200739277</v>
      </c>
      <c r="K43" s="10">
        <v>95.000423784312503</v>
      </c>
      <c r="L43" s="10">
        <v>113.733876763721</v>
      </c>
      <c r="M43" s="10">
        <v>-1000</v>
      </c>
      <c r="N43" s="10">
        <f t="shared" si="1"/>
        <v>95.108730522115792</v>
      </c>
      <c r="O43" s="10">
        <f t="shared" si="2"/>
        <v>103.93151366273355</v>
      </c>
      <c r="P43" s="10">
        <v>100</v>
      </c>
      <c r="Q43" s="34"/>
      <c r="R43" s="27"/>
      <c r="S43" s="10"/>
      <c r="T43" s="10"/>
      <c r="U43" s="10"/>
      <c r="V43" s="10"/>
      <c r="W43" s="10"/>
      <c r="X43" s="10"/>
      <c r="Y43" s="10"/>
      <c r="Z43" s="10"/>
      <c r="AA43" s="34"/>
      <c r="AB43" s="27"/>
      <c r="AC43" s="11"/>
      <c r="AD43" s="11"/>
      <c r="AE43" s="11"/>
      <c r="AF43" s="11"/>
    </row>
    <row r="44" spans="2:32" ht="11.25" customHeight="1" x14ac:dyDescent="0.35">
      <c r="B44" s="24"/>
      <c r="C44" s="7">
        <v>2009</v>
      </c>
      <c r="D44" s="10">
        <v>4</v>
      </c>
      <c r="E44" s="10" t="s">
        <v>109</v>
      </c>
      <c r="F44" s="10">
        <v>2009.75</v>
      </c>
      <c r="G44" s="10">
        <v>96.165495721155395</v>
      </c>
      <c r="H44" s="10">
        <v>104.68650295939599</v>
      </c>
      <c r="I44" s="10">
        <v>107.763760806216</v>
      </c>
      <c r="J44" s="10">
        <v>106.116083801588</v>
      </c>
      <c r="K44" s="10">
        <v>95.327617558865299</v>
      </c>
      <c r="L44" s="10">
        <v>113.653005172978</v>
      </c>
      <c r="M44" s="10">
        <v>-1000</v>
      </c>
      <c r="N44" s="10">
        <f t="shared" si="1"/>
        <v>94.980012904276734</v>
      </c>
      <c r="O44" s="10">
        <f t="shared" si="2"/>
        <v>104.03497454859496</v>
      </c>
      <c r="P44" s="10">
        <v>100</v>
      </c>
      <c r="Q44" s="34"/>
      <c r="R44" s="27"/>
      <c r="S44" s="10"/>
      <c r="T44" s="10"/>
      <c r="U44" s="10"/>
      <c r="V44" s="10"/>
      <c r="W44" s="10"/>
      <c r="X44" s="10"/>
      <c r="Y44" s="10"/>
      <c r="Z44" s="10"/>
      <c r="AA44" s="34"/>
      <c r="AB44" s="27"/>
      <c r="AC44" s="11"/>
      <c r="AD44" s="11"/>
      <c r="AE44" s="11"/>
      <c r="AF44" s="11"/>
    </row>
    <row r="45" spans="2:32" ht="11.25" customHeight="1" x14ac:dyDescent="0.35">
      <c r="B45" s="24"/>
      <c r="C45" s="7">
        <v>2010</v>
      </c>
      <c r="D45" s="10">
        <v>1</v>
      </c>
      <c r="E45" s="10" t="s">
        <v>110</v>
      </c>
      <c r="F45" s="10">
        <v>2010</v>
      </c>
      <c r="G45" s="10">
        <v>97.102930891097103</v>
      </c>
      <c r="H45" s="10">
        <v>105.133454924652</v>
      </c>
      <c r="I45" s="10">
        <v>108.72577881566301</v>
      </c>
      <c r="J45" s="10">
        <v>106.466308565069</v>
      </c>
      <c r="K45" s="10">
        <v>95.320431383508193</v>
      </c>
      <c r="L45" s="10">
        <v>113.476858004428</v>
      </c>
      <c r="M45" s="10">
        <v>-1000</v>
      </c>
      <c r="N45" s="10">
        <f t="shared" si="1"/>
        <v>94.851295286437676</v>
      </c>
      <c r="O45" s="10">
        <f t="shared" si="2"/>
        <v>104.13843543445637</v>
      </c>
      <c r="P45" s="10">
        <v>100</v>
      </c>
      <c r="Q45" s="34"/>
      <c r="R45" s="27"/>
      <c r="S45" s="10"/>
      <c r="T45" s="10"/>
      <c r="U45" s="10"/>
      <c r="V45" s="10"/>
      <c r="W45" s="10"/>
      <c r="X45" s="10"/>
      <c r="Y45" s="10"/>
      <c r="Z45" s="10"/>
      <c r="AA45" s="34"/>
      <c r="AB45" s="27"/>
      <c r="AC45" s="11"/>
      <c r="AD45" s="11"/>
      <c r="AE45" s="11"/>
      <c r="AF45" s="11"/>
    </row>
    <row r="46" spans="2:32" ht="11.25" customHeight="1" x14ac:dyDescent="0.35">
      <c r="B46" s="24"/>
      <c r="C46" s="7">
        <v>2010</v>
      </c>
      <c r="D46" s="10">
        <v>2</v>
      </c>
      <c r="E46" s="10" t="s">
        <v>111</v>
      </c>
      <c r="F46" s="10">
        <v>2010.25</v>
      </c>
      <c r="G46" s="10">
        <v>95.298381956580599</v>
      </c>
      <c r="H46" s="10">
        <v>105.19409469016099</v>
      </c>
      <c r="I46" s="10">
        <v>107.86442986007199</v>
      </c>
      <c r="J46" s="10">
        <v>106.33512472284001</v>
      </c>
      <c r="K46" s="10">
        <v>96.455997785378102</v>
      </c>
      <c r="L46" s="10">
        <v>115.03036406939501</v>
      </c>
      <c r="M46" s="10">
        <v>-1000</v>
      </c>
      <c r="N46" s="10">
        <f t="shared" si="1"/>
        <v>94.722577668598618</v>
      </c>
      <c r="O46" s="10">
        <f t="shared" si="2"/>
        <v>104.24189632031778</v>
      </c>
      <c r="P46" s="10">
        <v>100</v>
      </c>
      <c r="Q46" s="34"/>
      <c r="R46" s="27"/>
      <c r="S46" s="10"/>
      <c r="T46" s="10"/>
      <c r="U46" s="10"/>
      <c r="V46" s="10"/>
      <c r="W46" s="10"/>
      <c r="X46" s="10"/>
      <c r="Y46" s="10"/>
      <c r="Z46" s="10"/>
      <c r="AA46" s="34"/>
      <c r="AB46" s="27"/>
      <c r="AC46" s="11"/>
      <c r="AD46" s="11"/>
      <c r="AE46" s="11"/>
      <c r="AF46" s="11"/>
    </row>
    <row r="47" spans="2:32" ht="11.25" customHeight="1" x14ac:dyDescent="0.35">
      <c r="B47" s="24"/>
      <c r="C47" s="7">
        <v>2010</v>
      </c>
      <c r="D47" s="10">
        <v>3</v>
      </c>
      <c r="E47" s="10" t="s">
        <v>112</v>
      </c>
      <c r="F47" s="10">
        <v>2010.5</v>
      </c>
      <c r="G47" s="10">
        <v>95.059761875970494</v>
      </c>
      <c r="H47" s="10">
        <v>104.34489423567901</v>
      </c>
      <c r="I47" s="10">
        <v>107.027434418024</v>
      </c>
      <c r="J47" s="10">
        <v>106.35553133521699</v>
      </c>
      <c r="K47" s="10">
        <v>95.170777329925301</v>
      </c>
      <c r="L47" s="10">
        <v>112.820109050314</v>
      </c>
      <c r="M47" s="10">
        <v>-1000</v>
      </c>
      <c r="N47" s="10">
        <f t="shared" si="1"/>
        <v>94.593860050759559</v>
      </c>
      <c r="O47" s="10">
        <f t="shared" si="2"/>
        <v>104.34535720617919</v>
      </c>
      <c r="P47" s="10">
        <v>100</v>
      </c>
      <c r="Q47" s="34"/>
      <c r="R47" s="27"/>
      <c r="S47" s="10"/>
      <c r="T47" s="10"/>
      <c r="U47" s="10"/>
      <c r="V47" s="10"/>
      <c r="W47" s="10"/>
      <c r="X47" s="10"/>
      <c r="Y47" s="10"/>
      <c r="Z47" s="10"/>
      <c r="AA47" s="34"/>
      <c r="AB47" s="27"/>
      <c r="AC47" s="11"/>
      <c r="AD47" s="11"/>
      <c r="AE47" s="11"/>
      <c r="AF47" s="11"/>
    </row>
    <row r="48" spans="2:32" ht="11.25" customHeight="1" x14ac:dyDescent="0.35">
      <c r="B48" s="24"/>
      <c r="C48" s="7">
        <v>2010</v>
      </c>
      <c r="D48" s="10">
        <v>4</v>
      </c>
      <c r="E48" s="10" t="s">
        <v>113</v>
      </c>
      <c r="F48" s="10">
        <v>2010.75</v>
      </c>
      <c r="G48" s="10">
        <v>96.045566432553102</v>
      </c>
      <c r="H48" s="10">
        <v>104.536789774266</v>
      </c>
      <c r="I48" s="10">
        <v>106.306958761846</v>
      </c>
      <c r="J48" s="10">
        <v>106.605044072767</v>
      </c>
      <c r="K48" s="10">
        <v>95.975066296503698</v>
      </c>
      <c r="L48" s="10">
        <v>115.127578750897</v>
      </c>
      <c r="M48" s="10">
        <v>-1000</v>
      </c>
      <c r="N48" s="10">
        <f t="shared" si="1"/>
        <v>94.465142432920501</v>
      </c>
      <c r="O48" s="10">
        <f t="shared" si="2"/>
        <v>104.4488180920406</v>
      </c>
      <c r="P48" s="10">
        <v>100</v>
      </c>
      <c r="Q48" s="34"/>
      <c r="R48" s="27"/>
      <c r="S48" s="10"/>
      <c r="T48" s="10"/>
      <c r="U48" s="10"/>
      <c r="V48" s="10"/>
      <c r="W48" s="10"/>
      <c r="X48" s="10"/>
      <c r="Y48" s="10"/>
      <c r="Z48" s="10"/>
      <c r="AA48" s="34"/>
      <c r="AB48" s="27"/>
      <c r="AC48" s="11"/>
      <c r="AD48" s="11"/>
      <c r="AE48" s="11"/>
      <c r="AF48" s="11"/>
    </row>
    <row r="49" spans="2:32" ht="11.25" customHeight="1" x14ac:dyDescent="0.35">
      <c r="B49" s="24"/>
      <c r="C49" s="7">
        <v>2011</v>
      </c>
      <c r="D49" s="10">
        <v>1</v>
      </c>
      <c r="E49" s="10" t="s">
        <v>114</v>
      </c>
      <c r="F49" s="10">
        <v>2011</v>
      </c>
      <c r="G49" s="10">
        <v>95.142451141657105</v>
      </c>
      <c r="H49" s="10">
        <v>104.863749269184</v>
      </c>
      <c r="I49" s="10">
        <v>106.93771494199</v>
      </c>
      <c r="J49" s="10">
        <v>107.553725161402</v>
      </c>
      <c r="K49" s="10">
        <v>94.999960485190499</v>
      </c>
      <c r="L49" s="10">
        <v>116.02741988566299</v>
      </c>
      <c r="M49" s="10">
        <v>-1000</v>
      </c>
      <c r="N49" s="10">
        <f t="shared" si="1"/>
        <v>94.336424815081443</v>
      </c>
      <c r="O49" s="10">
        <f t="shared" si="2"/>
        <v>104.55227897790201</v>
      </c>
      <c r="P49" s="10">
        <v>100</v>
      </c>
      <c r="Q49" s="34"/>
      <c r="R49" s="27"/>
      <c r="S49" s="10"/>
      <c r="T49" s="10"/>
      <c r="U49" s="10"/>
      <c r="V49" s="10"/>
      <c r="W49" s="10"/>
      <c r="X49" s="10"/>
      <c r="Y49" s="10"/>
      <c r="Z49" s="10"/>
      <c r="AA49" s="34"/>
      <c r="AB49" s="27"/>
      <c r="AC49" s="11"/>
      <c r="AD49" s="11"/>
      <c r="AE49" s="11"/>
      <c r="AF49" s="11"/>
    </row>
    <row r="50" spans="2:32" ht="11.25" customHeight="1" x14ac:dyDescent="0.35">
      <c r="B50" s="24"/>
      <c r="C50" s="7">
        <v>2011</v>
      </c>
      <c r="D50" s="10">
        <v>2</v>
      </c>
      <c r="E50" s="10" t="s">
        <v>115</v>
      </c>
      <c r="F50" s="10">
        <v>2011.25</v>
      </c>
      <c r="G50" s="10">
        <v>95.266903706474295</v>
      </c>
      <c r="H50" s="10">
        <v>104.479525805637</v>
      </c>
      <c r="I50" s="10">
        <v>106.688356669223</v>
      </c>
      <c r="J50" s="10">
        <v>106.98918513704599</v>
      </c>
      <c r="K50" s="10">
        <v>94.542550949565907</v>
      </c>
      <c r="L50" s="10">
        <v>115.783490755622</v>
      </c>
      <c r="M50" s="10">
        <v>-1000</v>
      </c>
      <c r="N50" s="10">
        <f t="shared" si="1"/>
        <v>94.207707197242385</v>
      </c>
      <c r="O50" s="10">
        <f t="shared" si="2"/>
        <v>104.65573986376342</v>
      </c>
      <c r="P50" s="10">
        <v>100</v>
      </c>
      <c r="Q50" s="34"/>
      <c r="R50" s="27"/>
      <c r="S50" s="10"/>
      <c r="T50" s="10"/>
      <c r="U50" s="10"/>
      <c r="V50" s="10"/>
      <c r="W50" s="10"/>
      <c r="X50" s="10"/>
      <c r="Y50" s="10"/>
      <c r="Z50" s="10"/>
      <c r="AA50" s="34"/>
      <c r="AB50" s="27"/>
      <c r="AC50" s="11"/>
      <c r="AD50" s="11"/>
      <c r="AE50" s="11"/>
      <c r="AF50" s="11"/>
    </row>
    <row r="51" spans="2:32" ht="11.25" customHeight="1" x14ac:dyDescent="0.35">
      <c r="B51" s="24"/>
      <c r="C51" s="7">
        <v>2011</v>
      </c>
      <c r="D51" s="10">
        <v>3</v>
      </c>
      <c r="E51" s="10" t="s">
        <v>116</v>
      </c>
      <c r="F51" s="10">
        <v>2011.5</v>
      </c>
      <c r="G51" s="10">
        <v>95.744855924943494</v>
      </c>
      <c r="H51" s="10">
        <v>104.309575794645</v>
      </c>
      <c r="I51" s="10">
        <v>107.000209919887</v>
      </c>
      <c r="J51" s="10">
        <v>106.763128234657</v>
      </c>
      <c r="K51" s="10">
        <v>93.926714879055794</v>
      </c>
      <c r="L51" s="10">
        <v>114.884663705492</v>
      </c>
      <c r="M51" s="10">
        <v>-1000</v>
      </c>
      <c r="N51" s="10">
        <f t="shared" si="1"/>
        <v>94.078989579403327</v>
      </c>
      <c r="O51" s="10">
        <f t="shared" si="2"/>
        <v>104.75920074962482</v>
      </c>
      <c r="P51" s="10">
        <v>100</v>
      </c>
      <c r="Q51" s="34"/>
      <c r="R51" s="27"/>
      <c r="S51" s="10"/>
      <c r="T51" s="10"/>
      <c r="U51" s="10"/>
      <c r="V51" s="10"/>
      <c r="W51" s="10"/>
      <c r="X51" s="10"/>
      <c r="Y51" s="10"/>
      <c r="Z51" s="10"/>
      <c r="AA51" s="34"/>
      <c r="AB51" s="27"/>
      <c r="AC51" s="11"/>
      <c r="AD51" s="11"/>
      <c r="AE51" s="11"/>
      <c r="AF51" s="11"/>
    </row>
    <row r="52" spans="2:32" ht="11.25" customHeight="1" x14ac:dyDescent="0.35">
      <c r="B52" s="24"/>
      <c r="C52" s="7">
        <v>2011</v>
      </c>
      <c r="D52" s="10">
        <v>4</v>
      </c>
      <c r="E52" s="10" t="s">
        <v>117</v>
      </c>
      <c r="F52" s="10">
        <v>2011.75</v>
      </c>
      <c r="G52" s="10">
        <v>95.324390108069593</v>
      </c>
      <c r="H52" s="10">
        <v>103.95325519324901</v>
      </c>
      <c r="I52" s="10">
        <v>106.962391545847</v>
      </c>
      <c r="J52" s="10">
        <v>106.67427662157201</v>
      </c>
      <c r="K52" s="10">
        <v>93.056285383098</v>
      </c>
      <c r="L52" s="10">
        <v>113.773120122058</v>
      </c>
      <c r="M52" s="10">
        <v>-1000</v>
      </c>
      <c r="N52" s="10">
        <f t="shared" si="1"/>
        <v>93.950271961564269</v>
      </c>
      <c r="O52" s="10">
        <f t="shared" si="2"/>
        <v>104.86266163548623</v>
      </c>
      <c r="P52" s="10">
        <v>100</v>
      </c>
      <c r="Q52" s="34"/>
      <c r="R52" s="27"/>
      <c r="S52" s="10"/>
      <c r="T52" s="10"/>
      <c r="U52" s="10"/>
      <c r="V52" s="10"/>
      <c r="W52" s="10"/>
      <c r="X52" s="10"/>
      <c r="Y52" s="10"/>
      <c r="Z52" s="10"/>
      <c r="AA52" s="34"/>
      <c r="AB52" s="27"/>
      <c r="AC52" s="11"/>
      <c r="AD52" s="11"/>
      <c r="AE52" s="11"/>
      <c r="AF52" s="11"/>
    </row>
    <row r="53" spans="2:32" ht="11.25" customHeight="1" x14ac:dyDescent="0.35">
      <c r="B53" s="24"/>
      <c r="C53" s="7">
        <v>2012</v>
      </c>
      <c r="D53" s="10">
        <v>1</v>
      </c>
      <c r="E53" s="10" t="s">
        <v>118</v>
      </c>
      <c r="F53" s="10">
        <v>2012</v>
      </c>
      <c r="G53" s="10">
        <v>95.893623629833499</v>
      </c>
      <c r="H53" s="10">
        <v>104.809108827627</v>
      </c>
      <c r="I53" s="10">
        <v>107.966975850056</v>
      </c>
      <c r="J53" s="10">
        <v>106.706576052188</v>
      </c>
      <c r="K53" s="10">
        <v>94.327248867307901</v>
      </c>
      <c r="L53" s="10">
        <v>115.224202229974</v>
      </c>
      <c r="M53" s="10">
        <v>-1000</v>
      </c>
      <c r="N53" s="10">
        <f t="shared" si="1"/>
        <v>93.821554343725211</v>
      </c>
      <c r="O53" s="10">
        <f t="shared" si="2"/>
        <v>104.96612252134764</v>
      </c>
      <c r="P53" s="10">
        <v>100</v>
      </c>
      <c r="Q53" s="34"/>
      <c r="R53" s="27"/>
      <c r="S53" s="10"/>
      <c r="T53" s="10"/>
      <c r="U53" s="10"/>
      <c r="V53" s="10"/>
      <c r="W53" s="10"/>
      <c r="X53" s="10"/>
      <c r="Y53" s="10"/>
      <c r="Z53" s="10"/>
      <c r="AA53" s="34"/>
      <c r="AB53" s="27"/>
      <c r="AC53" s="11"/>
      <c r="AD53" s="11"/>
      <c r="AE53" s="11"/>
      <c r="AF53" s="11"/>
    </row>
    <row r="54" spans="2:32" ht="11.25" customHeight="1" x14ac:dyDescent="0.35">
      <c r="B54" s="24"/>
      <c r="C54" s="7">
        <v>2012</v>
      </c>
      <c r="D54" s="10">
        <v>2</v>
      </c>
      <c r="E54" s="10" t="s">
        <v>119</v>
      </c>
      <c r="F54" s="10">
        <v>2012.25</v>
      </c>
      <c r="G54" s="10">
        <v>94.935532017298399</v>
      </c>
      <c r="H54" s="10">
        <v>104.69415436722301</v>
      </c>
      <c r="I54" s="10">
        <v>108.320014518577</v>
      </c>
      <c r="J54" s="10">
        <v>106.608479608926</v>
      </c>
      <c r="K54" s="10">
        <v>93.557986623479295</v>
      </c>
      <c r="L54" s="10">
        <v>114.79227388852701</v>
      </c>
      <c r="M54" s="10">
        <v>-1000</v>
      </c>
      <c r="N54" s="10">
        <f t="shared" si="1"/>
        <v>93.692836725886153</v>
      </c>
      <c r="O54" s="10">
        <f t="shared" si="2"/>
        <v>105.06958340720905</v>
      </c>
      <c r="P54" s="10">
        <v>100</v>
      </c>
      <c r="Q54" s="34"/>
      <c r="R54" s="27"/>
      <c r="S54" s="10"/>
      <c r="T54" s="10"/>
      <c r="U54" s="10"/>
      <c r="V54" s="10"/>
      <c r="W54" s="10"/>
      <c r="X54" s="10"/>
      <c r="Y54" s="10"/>
      <c r="Z54" s="10"/>
      <c r="AA54" s="34"/>
      <c r="AB54" s="27"/>
      <c r="AC54" s="11"/>
      <c r="AD54" s="11"/>
      <c r="AE54" s="11"/>
      <c r="AF54" s="11"/>
    </row>
    <row r="55" spans="2:32" ht="11.25" customHeight="1" x14ac:dyDescent="0.35">
      <c r="B55" s="24"/>
      <c r="C55" s="7">
        <v>2012</v>
      </c>
      <c r="D55" s="10">
        <v>3</v>
      </c>
      <c r="E55" s="10" t="s">
        <v>120</v>
      </c>
      <c r="F55" s="10">
        <v>2012.5</v>
      </c>
      <c r="G55" s="10">
        <v>95.197046199148204</v>
      </c>
      <c r="H55" s="10">
        <v>104.869632007387</v>
      </c>
      <c r="I55" s="10">
        <v>108.99692468129901</v>
      </c>
      <c r="J55" s="10">
        <v>106.84514082390299</v>
      </c>
      <c r="K55" s="10">
        <v>93.043402725259099</v>
      </c>
      <c r="L55" s="10">
        <v>114.475915878637</v>
      </c>
      <c r="M55" s="10">
        <v>-1000</v>
      </c>
      <c r="N55" s="10">
        <f t="shared" si="1"/>
        <v>93.564119108047095</v>
      </c>
      <c r="O55" s="10">
        <f t="shared" si="2"/>
        <v>105.17304429307046</v>
      </c>
      <c r="P55" s="10">
        <v>100</v>
      </c>
      <c r="Q55" s="34"/>
      <c r="R55" s="27"/>
      <c r="S55" s="10"/>
      <c r="T55" s="10"/>
      <c r="U55" s="10"/>
      <c r="V55" s="10"/>
      <c r="W55" s="10"/>
      <c r="X55" s="10"/>
      <c r="Y55" s="10"/>
      <c r="Z55" s="10"/>
      <c r="AA55" s="34"/>
      <c r="AB55" s="27"/>
      <c r="AC55" s="11"/>
      <c r="AD55" s="11"/>
      <c r="AE55" s="11"/>
      <c r="AF55" s="11"/>
    </row>
    <row r="56" spans="2:32" ht="11.25" customHeight="1" x14ac:dyDescent="0.35">
      <c r="B56" s="24"/>
      <c r="C56" s="7">
        <v>2012</v>
      </c>
      <c r="D56" s="10">
        <v>4</v>
      </c>
      <c r="E56" s="10" t="s">
        <v>121</v>
      </c>
      <c r="F56" s="10">
        <v>2012.75</v>
      </c>
      <c r="G56" s="10">
        <v>93.987412901067103</v>
      </c>
      <c r="H56" s="10">
        <v>105.093608361417</v>
      </c>
      <c r="I56" s="10">
        <v>108.84607911048199</v>
      </c>
      <c r="J56" s="10">
        <v>107.10195601347699</v>
      </c>
      <c r="K56" s="10">
        <v>93.5987773085226</v>
      </c>
      <c r="L56" s="10">
        <v>115.36572349321099</v>
      </c>
      <c r="M56" s="10">
        <v>-1000</v>
      </c>
      <c r="N56" s="10">
        <f t="shared" si="1"/>
        <v>93.435401490208037</v>
      </c>
      <c r="O56" s="10">
        <f t="shared" si="2"/>
        <v>105.27650517893187</v>
      </c>
      <c r="P56" s="10">
        <v>100</v>
      </c>
      <c r="Q56" s="34"/>
      <c r="R56" s="27"/>
      <c r="S56" s="10"/>
      <c r="T56" s="10"/>
      <c r="U56" s="10"/>
      <c r="V56" s="10"/>
      <c r="W56" s="10"/>
      <c r="X56" s="10"/>
      <c r="Y56" s="10"/>
      <c r="Z56" s="10"/>
      <c r="AA56" s="34"/>
      <c r="AB56" s="27"/>
      <c r="AC56" s="11"/>
      <c r="AD56" s="11"/>
      <c r="AE56" s="11"/>
      <c r="AF56" s="11"/>
    </row>
    <row r="57" spans="2:32" ht="11.25" customHeight="1" x14ac:dyDescent="0.35">
      <c r="B57" s="24"/>
      <c r="C57" s="7">
        <v>2013</v>
      </c>
      <c r="D57" s="10">
        <v>1</v>
      </c>
      <c r="E57" s="10" t="s">
        <v>122</v>
      </c>
      <c r="F57" s="10">
        <v>2013</v>
      </c>
      <c r="G57" s="10">
        <v>94.016999420276093</v>
      </c>
      <c r="H57" s="10">
        <v>105.457477659162</v>
      </c>
      <c r="I57" s="10">
        <v>109.336490858031</v>
      </c>
      <c r="J57" s="10">
        <v>107.318727220322</v>
      </c>
      <c r="K57" s="10">
        <v>93.926539649539905</v>
      </c>
      <c r="L57" s="10">
        <v>115.703880133802</v>
      </c>
      <c r="M57" s="10">
        <v>-1000</v>
      </c>
      <c r="N57" s="10">
        <f t="shared" si="1"/>
        <v>93.306683872368978</v>
      </c>
      <c r="O57" s="10">
        <f t="shared" si="2"/>
        <v>105.37996606479328</v>
      </c>
      <c r="P57" s="10">
        <v>100</v>
      </c>
      <c r="Q57" s="34"/>
      <c r="R57" s="27"/>
      <c r="S57" s="10"/>
      <c r="T57" s="10"/>
      <c r="U57" s="10"/>
      <c r="V57" s="10"/>
      <c r="W57" s="10"/>
      <c r="X57" s="10"/>
      <c r="Y57" s="10"/>
      <c r="Z57" s="10"/>
      <c r="AA57" s="34"/>
      <c r="AB57" s="27"/>
      <c r="AC57" s="11"/>
      <c r="AD57" s="11"/>
      <c r="AE57" s="11"/>
      <c r="AF57" s="11"/>
    </row>
    <row r="58" spans="2:32" ht="11.25" customHeight="1" x14ac:dyDescent="0.35">
      <c r="B58" s="24"/>
      <c r="C58" s="7">
        <v>2013</v>
      </c>
      <c r="D58" s="10">
        <v>2</v>
      </c>
      <c r="E58" s="10" t="s">
        <v>123</v>
      </c>
      <c r="F58" s="10">
        <v>2013.25</v>
      </c>
      <c r="G58" s="10">
        <v>93.551879419293599</v>
      </c>
      <c r="H58" s="10">
        <v>106.181414066722</v>
      </c>
      <c r="I58" s="10">
        <v>109.59361961175</v>
      </c>
      <c r="J58" s="10">
        <v>108.73047273823801</v>
      </c>
      <c r="K58" s="10">
        <v>94.646139589154998</v>
      </c>
      <c r="L58" s="10">
        <v>116.50216337759301</v>
      </c>
      <c r="M58" s="10">
        <v>-1000</v>
      </c>
      <c r="N58" s="10">
        <f t="shared" si="1"/>
        <v>93.17796625452992</v>
      </c>
      <c r="O58" s="10">
        <f t="shared" si="2"/>
        <v>105.48342695065469</v>
      </c>
      <c r="P58" s="10">
        <v>100</v>
      </c>
      <c r="Q58" s="34"/>
      <c r="R58" s="27"/>
      <c r="S58" s="10"/>
      <c r="T58" s="10"/>
      <c r="U58" s="10"/>
      <c r="V58" s="10"/>
      <c r="W58" s="10"/>
      <c r="X58" s="10"/>
      <c r="Y58" s="10"/>
      <c r="Z58" s="10"/>
      <c r="AA58" s="34"/>
      <c r="AB58" s="27"/>
      <c r="AC58" s="11"/>
      <c r="AD58" s="11"/>
      <c r="AE58" s="11"/>
      <c r="AF58" s="11"/>
    </row>
    <row r="59" spans="2:32" ht="11.25" customHeight="1" x14ac:dyDescent="0.35">
      <c r="B59" s="24"/>
      <c r="C59" s="7">
        <v>2013</v>
      </c>
      <c r="D59" s="10">
        <v>3</v>
      </c>
      <c r="E59" s="10" t="s">
        <v>124</v>
      </c>
      <c r="F59" s="10">
        <v>2013.5</v>
      </c>
      <c r="G59" s="10">
        <v>93.325888786310898</v>
      </c>
      <c r="H59" s="10">
        <v>105.29794144346801</v>
      </c>
      <c r="I59" s="10">
        <v>109.441087436684</v>
      </c>
      <c r="J59" s="10">
        <v>107.74912125214701</v>
      </c>
      <c r="K59" s="10">
        <v>92.247832310472006</v>
      </c>
      <c r="L59" s="10">
        <v>116.87466429916201</v>
      </c>
      <c r="M59" s="10">
        <v>-1000</v>
      </c>
      <c r="N59" s="10">
        <f t="shared" si="1"/>
        <v>93.049248636690862</v>
      </c>
      <c r="O59" s="10">
        <f t="shared" si="2"/>
        <v>105.5868878365161</v>
      </c>
      <c r="P59" s="10">
        <v>100</v>
      </c>
      <c r="Q59" s="34"/>
      <c r="R59" s="27"/>
      <c r="S59" s="10"/>
      <c r="T59" s="10"/>
      <c r="U59" s="10"/>
      <c r="V59" s="10"/>
      <c r="W59" s="10"/>
      <c r="X59" s="10"/>
      <c r="Y59" s="10"/>
      <c r="Z59" s="10"/>
      <c r="AA59" s="34"/>
      <c r="AB59" s="27"/>
      <c r="AC59" s="11"/>
      <c r="AD59" s="11"/>
      <c r="AE59" s="11"/>
      <c r="AF59" s="11"/>
    </row>
    <row r="60" spans="2:32" ht="11.25" customHeight="1" x14ac:dyDescent="0.35">
      <c r="B60" s="24"/>
      <c r="C60" s="7">
        <v>2013</v>
      </c>
      <c r="D60" s="10">
        <v>4</v>
      </c>
      <c r="E60" s="10" t="s">
        <v>125</v>
      </c>
      <c r="F60" s="10">
        <v>2013.75</v>
      </c>
      <c r="G60" s="10">
        <v>92.652394976448704</v>
      </c>
      <c r="H60" s="10">
        <v>105.50271048679799</v>
      </c>
      <c r="I60" s="10">
        <v>109.669181889634</v>
      </c>
      <c r="J60" s="10">
        <v>108.292248121331</v>
      </c>
      <c r="K60" s="10">
        <v>91.913955807435599</v>
      </c>
      <c r="L60" s="10">
        <v>117.504260123607</v>
      </c>
      <c r="M60" s="10">
        <v>-1000</v>
      </c>
      <c r="N60" s="10">
        <f t="shared" si="1"/>
        <v>92.920531018851804</v>
      </c>
      <c r="O60" s="10">
        <f t="shared" si="2"/>
        <v>105.69034872237751</v>
      </c>
      <c r="P60" s="10">
        <v>100</v>
      </c>
      <c r="R60" s="27"/>
      <c r="S60" s="10"/>
      <c r="T60" s="10"/>
      <c r="U60" s="10"/>
      <c r="V60" s="10"/>
      <c r="W60" s="10"/>
      <c r="X60" s="10"/>
      <c r="Y60" s="10"/>
      <c r="Z60" s="10"/>
      <c r="AA60" s="34"/>
      <c r="AB60" s="27"/>
      <c r="AC60" s="11"/>
      <c r="AD60" s="11"/>
      <c r="AE60" s="11"/>
      <c r="AF60" s="11"/>
    </row>
    <row r="61" spans="2:32" ht="11.25" customHeight="1" x14ac:dyDescent="0.35">
      <c r="B61" s="24"/>
      <c r="C61" s="7">
        <v>2014</v>
      </c>
      <c r="D61" s="10">
        <v>1</v>
      </c>
      <c r="E61" s="10" t="s">
        <v>126</v>
      </c>
      <c r="F61" s="10">
        <v>2014</v>
      </c>
      <c r="G61" s="10">
        <v>92.663095783173503</v>
      </c>
      <c r="H61" s="10">
        <v>105.8972704941</v>
      </c>
      <c r="I61" s="10">
        <v>110.627575487285</v>
      </c>
      <c r="J61" s="10">
        <v>108.232772588427</v>
      </c>
      <c r="K61" s="10">
        <v>92.273873286592703</v>
      </c>
      <c r="L61" s="10">
        <v>116.735426802698</v>
      </c>
      <c r="M61" s="10">
        <v>1000</v>
      </c>
      <c r="N61" s="53">
        <f>G61</f>
        <v>92.663095783173503</v>
      </c>
      <c r="O61" s="53">
        <f>H61</f>
        <v>105.8972704941</v>
      </c>
      <c r="P61" s="10">
        <v>100</v>
      </c>
      <c r="S61" s="10"/>
      <c r="T61" s="10"/>
      <c r="U61" s="10"/>
      <c r="V61" s="10"/>
      <c r="W61" s="10"/>
      <c r="X61" s="10"/>
      <c r="Y61" s="10"/>
      <c r="Z61" s="10"/>
      <c r="AA61" s="34"/>
      <c r="AB61" s="27"/>
      <c r="AC61" s="11"/>
      <c r="AD61" s="11"/>
      <c r="AE61" s="11"/>
      <c r="AF61" s="11"/>
    </row>
    <row r="62" spans="2:32" ht="11.25" customHeight="1" x14ac:dyDescent="0.35">
      <c r="B62" s="24"/>
      <c r="C62" s="7">
        <v>2014</v>
      </c>
      <c r="D62" s="10">
        <v>2</v>
      </c>
      <c r="E62" s="10" t="s">
        <v>127</v>
      </c>
      <c r="F62" s="10">
        <v>2014.25</v>
      </c>
      <c r="G62" s="10">
        <v>93.079688353044304</v>
      </c>
      <c r="H62" s="10">
        <v>105.67152274221</v>
      </c>
      <c r="I62" s="10">
        <v>109.605277825659</v>
      </c>
      <c r="J62" s="10">
        <v>108.417933068935</v>
      </c>
      <c r="K62" s="10">
        <v>92.189737231640393</v>
      </c>
      <c r="L62" s="10">
        <v>118.562364139647</v>
      </c>
      <c r="M62" s="10">
        <v>1000</v>
      </c>
      <c r="N62" s="10">
        <f>($N$108-$N$61)/COUNT($H$61:$H$108)+N61</f>
        <v>92.778558129188028</v>
      </c>
      <c r="O62" s="10">
        <f>($O$108-$O$61)/COUNT($I$61:$I$108)+O61</f>
        <v>105.91916477465102</v>
      </c>
      <c r="P62" s="10">
        <v>100</v>
      </c>
      <c r="S62" s="10"/>
      <c r="T62" s="10"/>
      <c r="U62" s="10"/>
      <c r="V62" s="10"/>
      <c r="W62" s="10"/>
      <c r="X62" s="10"/>
      <c r="Y62" s="10"/>
      <c r="Z62" s="10"/>
      <c r="AA62" s="34"/>
      <c r="AB62" s="27"/>
      <c r="AC62" s="11"/>
      <c r="AD62" s="11"/>
      <c r="AE62" s="11"/>
      <c r="AF62" s="11"/>
    </row>
    <row r="63" spans="2:32" ht="11.25" customHeight="1" x14ac:dyDescent="0.35">
      <c r="B63" s="24"/>
      <c r="C63" s="7">
        <v>2014</v>
      </c>
      <c r="D63" s="10">
        <v>3</v>
      </c>
      <c r="E63" s="10" t="s">
        <v>128</v>
      </c>
      <c r="F63" s="10">
        <v>2014.5</v>
      </c>
      <c r="G63" s="10">
        <v>93.310742005951397</v>
      </c>
      <c r="H63" s="10">
        <v>106.034051819447</v>
      </c>
      <c r="I63" s="10">
        <v>110.54667998955</v>
      </c>
      <c r="J63" s="10">
        <v>108.988509216297</v>
      </c>
      <c r="K63" s="10">
        <v>92.143873935186903</v>
      </c>
      <c r="L63" s="10">
        <v>116.75832787008299</v>
      </c>
      <c r="M63" s="10">
        <v>1000</v>
      </c>
      <c r="N63" s="10">
        <f t="shared" ref="N63:N107" si="3">($N$108-$N$61)/COUNT($H$61:$H$108)+N62</f>
        <v>92.894020475202552</v>
      </c>
      <c r="O63" s="10">
        <f t="shared" ref="O63:O107" si="4">($O$108-$O$61)/COUNT($I$61:$I$108)+O62</f>
        <v>105.94105905520205</v>
      </c>
      <c r="P63" s="10">
        <v>100</v>
      </c>
      <c r="Q63" s="34"/>
      <c r="R63" s="27"/>
      <c r="S63" s="10"/>
      <c r="T63" s="10"/>
      <c r="U63" s="10"/>
      <c r="V63" s="10"/>
      <c r="W63" s="10"/>
      <c r="X63" s="10"/>
      <c r="Y63" s="10"/>
      <c r="Z63" s="10"/>
      <c r="AA63" s="34"/>
      <c r="AB63" s="27"/>
      <c r="AC63" s="11"/>
      <c r="AD63" s="11"/>
      <c r="AE63" s="11"/>
      <c r="AF63" s="11"/>
    </row>
    <row r="64" spans="2:32" ht="11.25" customHeight="1" x14ac:dyDescent="0.35">
      <c r="B64" s="24"/>
      <c r="C64" s="7">
        <v>2014</v>
      </c>
      <c r="D64" s="10">
        <v>4</v>
      </c>
      <c r="E64" s="10" t="s">
        <v>129</v>
      </c>
      <c r="F64" s="10">
        <v>2014.75</v>
      </c>
      <c r="G64" s="10">
        <v>93.649039490817501</v>
      </c>
      <c r="H64" s="10">
        <v>106.408651437419</v>
      </c>
      <c r="I64" s="10">
        <v>111.548979658997</v>
      </c>
      <c r="J64" s="10">
        <v>108.472900394889</v>
      </c>
      <c r="K64" s="10">
        <v>91.711812332621307</v>
      </c>
      <c r="L64" s="10">
        <v>119.183092937431</v>
      </c>
      <c r="M64" s="10">
        <v>1000</v>
      </c>
      <c r="N64" s="10">
        <f t="shared" si="3"/>
        <v>93.009482821217077</v>
      </c>
      <c r="O64" s="10">
        <f t="shared" si="4"/>
        <v>105.96295333575307</v>
      </c>
      <c r="P64" s="10">
        <v>100</v>
      </c>
      <c r="Q64" s="34"/>
      <c r="R64" s="27"/>
      <c r="S64" s="10"/>
      <c r="T64" s="10"/>
      <c r="U64" s="10"/>
      <c r="V64" s="10"/>
      <c r="W64" s="10"/>
      <c r="X64" s="10"/>
      <c r="Y64" s="10"/>
      <c r="Z64" s="10"/>
      <c r="AA64" s="34"/>
      <c r="AB64" s="27"/>
      <c r="AC64" s="11"/>
      <c r="AD64" s="11"/>
      <c r="AE64" s="11"/>
      <c r="AF64" s="11"/>
    </row>
    <row r="65" spans="2:32" ht="11.25" customHeight="1" x14ac:dyDescent="0.35">
      <c r="B65" s="24"/>
      <c r="C65" s="7">
        <v>2015</v>
      </c>
      <c r="D65" s="10">
        <v>1</v>
      </c>
      <c r="E65" s="10" t="s">
        <v>130</v>
      </c>
      <c r="F65" s="10">
        <v>2015</v>
      </c>
      <c r="G65" s="10">
        <v>94.437359536895897</v>
      </c>
      <c r="H65" s="10">
        <v>106.43080347196</v>
      </c>
      <c r="I65" s="10">
        <v>110.794931933879</v>
      </c>
      <c r="J65" s="10">
        <v>109.284364284003</v>
      </c>
      <c r="K65" s="10">
        <v>92.182910135602498</v>
      </c>
      <c r="L65" s="10">
        <v>119.112997853625</v>
      </c>
      <c r="M65" s="10">
        <v>1000</v>
      </c>
      <c r="N65" s="10">
        <f t="shared" si="3"/>
        <v>93.124945167231601</v>
      </c>
      <c r="O65" s="10">
        <f t="shared" si="4"/>
        <v>105.98484761630409</v>
      </c>
      <c r="P65" s="10">
        <v>100</v>
      </c>
      <c r="Q65" s="34"/>
      <c r="R65" s="27"/>
      <c r="S65" s="10"/>
      <c r="T65" s="10"/>
      <c r="U65" s="10"/>
      <c r="V65" s="10"/>
      <c r="W65" s="10"/>
      <c r="X65" s="10"/>
      <c r="Y65" s="10"/>
      <c r="Z65" s="10"/>
      <c r="AA65" s="34"/>
      <c r="AB65" s="27"/>
      <c r="AC65" s="11"/>
      <c r="AD65" s="11"/>
      <c r="AE65" s="11"/>
      <c r="AF65" s="11"/>
    </row>
    <row r="66" spans="2:32" ht="11.25" customHeight="1" x14ac:dyDescent="0.35">
      <c r="B66" s="24"/>
      <c r="C66" s="7">
        <v>2015</v>
      </c>
      <c r="D66" s="10">
        <v>2</v>
      </c>
      <c r="E66" s="10" t="s">
        <v>131</v>
      </c>
      <c r="F66" s="10">
        <v>2015.25</v>
      </c>
      <c r="G66" s="10">
        <v>93.672327348585497</v>
      </c>
      <c r="H66" s="10">
        <v>105.902476332784</v>
      </c>
      <c r="I66" s="10">
        <v>110.906109498652</v>
      </c>
      <c r="J66" s="10">
        <v>108.86964386993699</v>
      </c>
      <c r="K66" s="10">
        <v>91.309169594736801</v>
      </c>
      <c r="L66" s="10">
        <v>116.287992974389</v>
      </c>
      <c r="M66" s="10">
        <v>1000</v>
      </c>
      <c r="N66" s="10">
        <f t="shared" si="3"/>
        <v>93.240407513246126</v>
      </c>
      <c r="O66" s="10">
        <f t="shared" si="4"/>
        <v>106.00674189685512</v>
      </c>
      <c r="P66" s="10">
        <v>100</v>
      </c>
      <c r="Q66" s="34"/>
      <c r="R66" s="27"/>
      <c r="S66" s="10"/>
      <c r="T66" s="10"/>
      <c r="U66" s="10"/>
      <c r="V66" s="10"/>
      <c r="W66" s="10"/>
      <c r="X66" s="10"/>
      <c r="Y66" s="10"/>
      <c r="Z66" s="10"/>
      <c r="AA66" s="34"/>
      <c r="AB66" s="27"/>
      <c r="AC66" s="11"/>
      <c r="AD66" s="11"/>
      <c r="AE66" s="11"/>
      <c r="AF66" s="11"/>
    </row>
    <row r="67" spans="2:32" ht="11.25" customHeight="1" x14ac:dyDescent="0.35">
      <c r="B67" s="24"/>
      <c r="C67" s="7">
        <v>2015</v>
      </c>
      <c r="D67" s="10">
        <v>3</v>
      </c>
      <c r="E67" s="10" t="s">
        <v>132</v>
      </c>
      <c r="F67" s="10">
        <v>2015.5</v>
      </c>
      <c r="G67" s="10">
        <v>94.140589214039807</v>
      </c>
      <c r="H67" s="10">
        <v>106.129922021049</v>
      </c>
      <c r="I67" s="10">
        <v>111.437415661316</v>
      </c>
      <c r="J67" s="10">
        <v>108.771418917421</v>
      </c>
      <c r="K67" s="10">
        <v>91.482850330721405</v>
      </c>
      <c r="L67" s="10">
        <v>116.250532536729</v>
      </c>
      <c r="M67" s="10">
        <v>1000</v>
      </c>
      <c r="N67" s="10">
        <f t="shared" si="3"/>
        <v>93.35586985926065</v>
      </c>
      <c r="O67" s="10">
        <f t="shared" si="4"/>
        <v>106.02863617740614</v>
      </c>
      <c r="P67" s="10">
        <v>100</v>
      </c>
      <c r="Q67" s="34"/>
      <c r="R67" s="27"/>
      <c r="S67" s="10"/>
      <c r="T67" s="10"/>
      <c r="U67" s="10"/>
      <c r="V67" s="10"/>
      <c r="W67" s="10"/>
      <c r="X67" s="10"/>
      <c r="Y67" s="10"/>
      <c r="Z67" s="10"/>
      <c r="AA67" s="34"/>
      <c r="AB67" s="27"/>
      <c r="AC67" s="11"/>
      <c r="AD67" s="11"/>
      <c r="AE67" s="11"/>
      <c r="AF67" s="11"/>
    </row>
    <row r="68" spans="2:32" ht="11.25" customHeight="1" x14ac:dyDescent="0.35">
      <c r="B68" s="24"/>
      <c r="C68" s="7">
        <v>2015</v>
      </c>
      <c r="D68" s="10">
        <v>4</v>
      </c>
      <c r="E68" s="10" t="s">
        <v>133</v>
      </c>
      <c r="F68" s="10">
        <v>2015.75</v>
      </c>
      <c r="G68" s="10">
        <v>94.154090367147205</v>
      </c>
      <c r="H68" s="10">
        <v>105.991901550253</v>
      </c>
      <c r="I68" s="10">
        <v>111.417601518163</v>
      </c>
      <c r="J68" s="10">
        <v>108.75979350887501</v>
      </c>
      <c r="K68" s="10">
        <v>91.3023535009429</v>
      </c>
      <c r="L68" s="10">
        <v>115.33781094033201</v>
      </c>
      <c r="M68" s="10">
        <v>1000</v>
      </c>
      <c r="N68" s="10">
        <f t="shared" si="3"/>
        <v>93.471332205275175</v>
      </c>
      <c r="O68" s="10">
        <f t="shared" si="4"/>
        <v>106.05053045795717</v>
      </c>
      <c r="P68" s="10">
        <v>100</v>
      </c>
      <c r="Q68" s="34"/>
      <c r="R68" s="27"/>
      <c r="S68" s="10"/>
      <c r="T68" s="10"/>
      <c r="U68" s="10"/>
      <c r="V68" s="10"/>
      <c r="W68" s="10"/>
      <c r="X68" s="10"/>
      <c r="Y68" s="10"/>
      <c r="Z68" s="10"/>
      <c r="AA68" s="34"/>
      <c r="AB68" s="27"/>
      <c r="AC68" s="11"/>
      <c r="AD68" s="11"/>
      <c r="AE68" s="11"/>
      <c r="AF68" s="11"/>
    </row>
    <row r="69" spans="2:32" ht="11.25" customHeight="1" x14ac:dyDescent="0.35">
      <c r="B69" s="24"/>
      <c r="C69" s="7">
        <v>2016</v>
      </c>
      <c r="D69" s="10">
        <v>1</v>
      </c>
      <c r="E69" s="10" t="s">
        <v>134</v>
      </c>
      <c r="F69" s="10">
        <v>2016</v>
      </c>
      <c r="G69" s="10">
        <v>94.447876970014605</v>
      </c>
      <c r="H69" s="10">
        <v>106.32603037764299</v>
      </c>
      <c r="I69" s="10">
        <v>112.58708947950301</v>
      </c>
      <c r="J69" s="10">
        <v>108.88269372723001</v>
      </c>
      <c r="K69" s="10">
        <v>90.901301756556705</v>
      </c>
      <c r="L69" s="10">
        <v>114.620018774127</v>
      </c>
      <c r="M69" s="10">
        <v>1000</v>
      </c>
      <c r="N69" s="10">
        <f t="shared" si="3"/>
        <v>93.586794551289699</v>
      </c>
      <c r="O69" s="10">
        <f t="shared" si="4"/>
        <v>106.07242473850819</v>
      </c>
      <c r="P69" s="10">
        <v>100</v>
      </c>
      <c r="Q69" s="34"/>
      <c r="R69" s="27"/>
      <c r="S69" s="10"/>
      <c r="T69" s="10"/>
      <c r="U69" s="10"/>
      <c r="V69" s="10"/>
      <c r="W69" s="10"/>
      <c r="X69" s="10"/>
      <c r="Y69" s="10"/>
      <c r="Z69" s="10"/>
      <c r="AA69" s="34"/>
      <c r="AB69" s="27"/>
      <c r="AC69" s="11"/>
      <c r="AD69" s="11"/>
      <c r="AE69" s="11"/>
      <c r="AF69" s="11"/>
    </row>
    <row r="70" spans="2:32" ht="11.25" customHeight="1" x14ac:dyDescent="0.35">
      <c r="B70" s="24"/>
      <c r="C70" s="7">
        <v>2016</v>
      </c>
      <c r="D70" s="10">
        <v>2</v>
      </c>
      <c r="E70" s="10" t="s">
        <v>135</v>
      </c>
      <c r="F70" s="10">
        <v>2016.25</v>
      </c>
      <c r="G70" s="10">
        <v>93.9476001734118</v>
      </c>
      <c r="H70" s="10">
        <v>106.352986481576</v>
      </c>
      <c r="I70" s="10">
        <v>112.644449479207</v>
      </c>
      <c r="J70" s="10">
        <v>108.430858973284</v>
      </c>
      <c r="K70" s="10">
        <v>91.409609329976306</v>
      </c>
      <c r="L70" s="10">
        <v>114.544025580457</v>
      </c>
      <c r="M70" s="10">
        <v>1000</v>
      </c>
      <c r="N70" s="10">
        <f t="shared" si="3"/>
        <v>93.702256897304224</v>
      </c>
      <c r="O70" s="10">
        <f t="shared" si="4"/>
        <v>106.09431901905921</v>
      </c>
      <c r="P70" s="10">
        <v>100</v>
      </c>
      <c r="Q70" s="34"/>
      <c r="R70" s="27"/>
      <c r="S70" s="10"/>
      <c r="T70" s="10"/>
      <c r="U70" s="10"/>
      <c r="V70" s="10"/>
      <c r="W70" s="10"/>
      <c r="X70" s="10"/>
      <c r="Y70" s="10"/>
      <c r="Z70" s="10"/>
      <c r="AA70" s="34"/>
      <c r="AB70" s="27"/>
      <c r="AC70" s="11"/>
      <c r="AD70" s="11"/>
      <c r="AE70" s="11"/>
      <c r="AF70" s="11"/>
    </row>
    <row r="71" spans="2:32" ht="11.25" customHeight="1" x14ac:dyDescent="0.35">
      <c r="B71" s="24"/>
      <c r="C71" s="7">
        <v>2016</v>
      </c>
      <c r="D71" s="10">
        <v>3</v>
      </c>
      <c r="E71" s="10" t="s">
        <v>136</v>
      </c>
      <c r="F71" s="10">
        <v>2016.5</v>
      </c>
      <c r="G71" s="10">
        <v>94.351757017300201</v>
      </c>
      <c r="H71" s="10">
        <v>106.535715590195</v>
      </c>
      <c r="I71" s="10">
        <v>112.412560158403</v>
      </c>
      <c r="J71" s="10">
        <v>107.736176603188</v>
      </c>
      <c r="K71" s="10">
        <v>92.497015934930005</v>
      </c>
      <c r="L71" s="10">
        <v>116.549106938618</v>
      </c>
      <c r="M71" s="10">
        <v>1000</v>
      </c>
      <c r="N71" s="10">
        <f t="shared" si="3"/>
        <v>93.817719243318749</v>
      </c>
      <c r="O71" s="10">
        <f t="shared" si="4"/>
        <v>106.11621329961024</v>
      </c>
      <c r="P71" s="10">
        <v>100</v>
      </c>
      <c r="Q71" s="34"/>
      <c r="R71" s="27"/>
      <c r="S71" s="10"/>
      <c r="T71" s="10"/>
      <c r="U71" s="10"/>
      <c r="V71" s="10"/>
      <c r="W71" s="10"/>
      <c r="X71" s="10"/>
      <c r="Y71" s="10"/>
      <c r="Z71" s="10"/>
      <c r="AA71" s="34"/>
      <c r="AB71" s="27"/>
      <c r="AC71" s="11"/>
      <c r="AD71" s="11"/>
      <c r="AE71" s="11"/>
      <c r="AF71" s="11"/>
    </row>
    <row r="72" spans="2:32" ht="11.25" customHeight="1" x14ac:dyDescent="0.35">
      <c r="B72" s="24"/>
      <c r="C72" s="7">
        <v>2016</v>
      </c>
      <c r="D72" s="10">
        <v>4</v>
      </c>
      <c r="E72" s="10" t="s">
        <v>137</v>
      </c>
      <c r="F72" s="10">
        <v>2016.75</v>
      </c>
      <c r="G72" s="10">
        <v>94.101299519128702</v>
      </c>
      <c r="H72" s="10">
        <v>106.60447212075699</v>
      </c>
      <c r="I72" s="10">
        <v>112.59034464786799</v>
      </c>
      <c r="J72" s="10">
        <v>108.655354074233</v>
      </c>
      <c r="K72" s="10">
        <v>91.933877087879694</v>
      </c>
      <c r="L72" s="10">
        <v>115.460683080157</v>
      </c>
      <c r="M72" s="10">
        <v>1000</v>
      </c>
      <c r="N72" s="10">
        <f t="shared" si="3"/>
        <v>93.933181589333273</v>
      </c>
      <c r="O72" s="10">
        <f t="shared" si="4"/>
        <v>106.13810758016126</v>
      </c>
      <c r="P72" s="10">
        <v>100</v>
      </c>
      <c r="Q72" s="34"/>
      <c r="R72" s="27"/>
      <c r="S72" s="10"/>
      <c r="T72" s="10"/>
      <c r="U72" s="10"/>
      <c r="V72" s="10"/>
      <c r="W72" s="10"/>
      <c r="X72" s="10"/>
      <c r="Y72" s="10"/>
      <c r="Z72" s="10"/>
      <c r="AA72" s="34"/>
      <c r="AB72" s="27"/>
      <c r="AC72" s="11"/>
      <c r="AD72" s="11"/>
      <c r="AE72" s="11"/>
      <c r="AF72" s="11"/>
    </row>
    <row r="73" spans="2:32" ht="11.25" customHeight="1" x14ac:dyDescent="0.35">
      <c r="B73" s="24"/>
      <c r="C73" s="7">
        <v>2017</v>
      </c>
      <c r="D73" s="10">
        <v>1</v>
      </c>
      <c r="E73" s="10" t="s">
        <v>138</v>
      </c>
      <c r="F73" s="10">
        <v>2017</v>
      </c>
      <c r="G73" s="10">
        <v>94.888190008582001</v>
      </c>
      <c r="H73" s="10">
        <v>107.411297949652</v>
      </c>
      <c r="I73" s="10">
        <v>113.883740961166</v>
      </c>
      <c r="J73" s="10">
        <v>108.838899769542</v>
      </c>
      <c r="K73" s="10">
        <v>92.394077912267505</v>
      </c>
      <c r="L73" s="10">
        <v>116.864746675188</v>
      </c>
      <c r="M73" s="10">
        <v>1000</v>
      </c>
      <c r="N73" s="10">
        <f t="shared" si="3"/>
        <v>94.048643935347798</v>
      </c>
      <c r="O73" s="10">
        <f t="shared" si="4"/>
        <v>106.16000186071228</v>
      </c>
      <c r="P73" s="10">
        <v>100</v>
      </c>
      <c r="Q73" s="34"/>
      <c r="R73" s="27"/>
      <c r="S73" s="10"/>
      <c r="T73" s="10"/>
      <c r="U73" s="10"/>
      <c r="V73" s="10"/>
      <c r="W73" s="10"/>
      <c r="X73" s="10"/>
      <c r="Y73" s="10"/>
      <c r="Z73" s="10"/>
      <c r="AA73" s="34"/>
      <c r="AB73" s="27"/>
      <c r="AC73" s="11"/>
      <c r="AD73" s="11"/>
      <c r="AE73" s="11"/>
      <c r="AF73" s="11"/>
    </row>
    <row r="74" spans="2:32" ht="11.25" customHeight="1" x14ac:dyDescent="0.35">
      <c r="B74" s="24"/>
      <c r="C74" s="7">
        <v>2017</v>
      </c>
      <c r="D74" s="10">
        <v>2</v>
      </c>
      <c r="E74" s="10" t="s">
        <v>139</v>
      </c>
      <c r="F74" s="10">
        <v>2017.25</v>
      </c>
      <c r="G74" s="10">
        <v>95.3059247770219</v>
      </c>
      <c r="H74" s="10">
        <v>107.408778903266</v>
      </c>
      <c r="I74" s="10">
        <v>114.09009957663299</v>
      </c>
      <c r="J74" s="10">
        <v>109.06786644014799</v>
      </c>
      <c r="K74" s="10">
        <v>92.5539197435359</v>
      </c>
      <c r="L74" s="10">
        <v>114.841449694787</v>
      </c>
      <c r="M74" s="10">
        <v>1000</v>
      </c>
      <c r="N74" s="10">
        <f t="shared" si="3"/>
        <v>94.164106281362322</v>
      </c>
      <c r="O74" s="10">
        <f t="shared" si="4"/>
        <v>106.18189614126331</v>
      </c>
      <c r="P74" s="10">
        <v>100</v>
      </c>
      <c r="Q74" s="34"/>
      <c r="R74" s="27"/>
      <c r="S74" s="10"/>
      <c r="T74" s="10"/>
      <c r="U74" s="10"/>
      <c r="V74" s="10"/>
      <c r="W74" s="10"/>
      <c r="X74" s="10"/>
      <c r="Y74" s="10"/>
      <c r="Z74" s="10"/>
      <c r="AA74" s="34"/>
      <c r="AB74" s="27"/>
      <c r="AC74" s="11"/>
      <c r="AD74" s="11"/>
      <c r="AE74" s="11"/>
      <c r="AF74" s="11"/>
    </row>
    <row r="75" spans="2:32" ht="11.25" customHeight="1" x14ac:dyDescent="0.35">
      <c r="B75" s="24"/>
      <c r="C75" s="7">
        <v>2017</v>
      </c>
      <c r="D75" s="10">
        <v>3</v>
      </c>
      <c r="E75" s="10" t="s">
        <v>140</v>
      </c>
      <c r="F75" s="10">
        <v>2017.5</v>
      </c>
      <c r="G75" s="10">
        <v>94.853849223425101</v>
      </c>
      <c r="H75" s="10">
        <v>107.55996741872799</v>
      </c>
      <c r="I75" s="10">
        <v>114.89753072710801</v>
      </c>
      <c r="J75" s="10">
        <v>109.091899407444</v>
      </c>
      <c r="K75" s="10">
        <v>91.9394824396622</v>
      </c>
      <c r="L75" s="10">
        <v>114.58423510375199</v>
      </c>
      <c r="M75" s="10">
        <v>1000</v>
      </c>
      <c r="N75" s="10">
        <f t="shared" si="3"/>
        <v>94.279568627376847</v>
      </c>
      <c r="O75" s="10">
        <f t="shared" si="4"/>
        <v>106.20379042181433</v>
      </c>
      <c r="P75" s="10">
        <v>100</v>
      </c>
      <c r="Q75" s="34"/>
      <c r="R75" s="27"/>
      <c r="S75" s="10"/>
      <c r="T75" s="10"/>
      <c r="U75" s="10"/>
      <c r="V75" s="10"/>
      <c r="W75" s="10"/>
      <c r="X75" s="10"/>
      <c r="Y75" s="10"/>
      <c r="Z75" s="10"/>
      <c r="AA75" s="34"/>
      <c r="AB75" s="27"/>
      <c r="AC75" s="11"/>
      <c r="AD75" s="11"/>
      <c r="AE75" s="11"/>
      <c r="AF75" s="11"/>
    </row>
    <row r="76" spans="2:32" ht="11.25" customHeight="1" x14ac:dyDescent="0.35">
      <c r="B76" s="24"/>
      <c r="C76" s="7">
        <v>2017</v>
      </c>
      <c r="D76" s="10">
        <v>4</v>
      </c>
      <c r="E76" s="10" t="s">
        <v>141</v>
      </c>
      <c r="F76" s="10">
        <v>2017.75</v>
      </c>
      <c r="G76" s="10">
        <v>95.139969685732694</v>
      </c>
      <c r="H76" s="10">
        <v>107.765056906003</v>
      </c>
      <c r="I76" s="10">
        <v>115.109019620491</v>
      </c>
      <c r="J76" s="10">
        <v>109.454563587629</v>
      </c>
      <c r="K76" s="10">
        <v>91.814315490872005</v>
      </c>
      <c r="L76" s="10">
        <v>115.223898324237</v>
      </c>
      <c r="M76" s="10">
        <v>1000</v>
      </c>
      <c r="N76" s="10">
        <f t="shared" si="3"/>
        <v>94.395030973391371</v>
      </c>
      <c r="O76" s="10">
        <f t="shared" si="4"/>
        <v>106.22568470236536</v>
      </c>
      <c r="P76" s="10">
        <v>100</v>
      </c>
      <c r="Q76" s="34"/>
      <c r="R76" s="27"/>
      <c r="S76" s="10"/>
      <c r="T76" s="10"/>
      <c r="U76" s="10"/>
      <c r="V76" s="10"/>
      <c r="W76" s="10"/>
      <c r="X76" s="10"/>
      <c r="Y76" s="10"/>
      <c r="Z76" s="10"/>
      <c r="AA76" s="34"/>
      <c r="AB76" s="27"/>
      <c r="AC76" s="11"/>
      <c r="AD76" s="11"/>
      <c r="AE76" s="11"/>
      <c r="AF76" s="11"/>
    </row>
    <row r="77" spans="2:32" ht="11.25" customHeight="1" x14ac:dyDescent="0.35">
      <c r="B77" s="24"/>
      <c r="C77" s="7">
        <v>2018</v>
      </c>
      <c r="D77" s="10">
        <v>1</v>
      </c>
      <c r="E77" s="10" t="s">
        <v>142</v>
      </c>
      <c r="F77" s="10">
        <v>2018</v>
      </c>
      <c r="G77" s="10">
        <v>95.109063982565104</v>
      </c>
      <c r="H77" s="10">
        <v>107.67358458567099</v>
      </c>
      <c r="I77" s="10">
        <v>115.316242108542</v>
      </c>
      <c r="J77" s="10">
        <v>108.575120683047</v>
      </c>
      <c r="K77" s="10">
        <v>92.066089403848395</v>
      </c>
      <c r="L77" s="10">
        <v>115.12336336039699</v>
      </c>
      <c r="M77" s="10">
        <v>1000</v>
      </c>
      <c r="N77" s="10">
        <f t="shared" si="3"/>
        <v>94.510493319405896</v>
      </c>
      <c r="O77" s="10">
        <f t="shared" si="4"/>
        <v>106.24757898291638</v>
      </c>
      <c r="P77" s="10">
        <v>100</v>
      </c>
      <c r="Q77" s="34"/>
      <c r="R77" s="27"/>
      <c r="S77" s="10"/>
      <c r="T77" s="10"/>
      <c r="U77" s="10"/>
      <c r="V77" s="10"/>
      <c r="W77" s="10"/>
      <c r="X77" s="10"/>
      <c r="Y77" s="10"/>
      <c r="Z77" s="10"/>
      <c r="AA77" s="34"/>
      <c r="AB77" s="27"/>
      <c r="AC77" s="11"/>
      <c r="AD77" s="11"/>
      <c r="AE77" s="11"/>
      <c r="AF77" s="11"/>
    </row>
    <row r="78" spans="2:32" ht="11.25" customHeight="1" x14ac:dyDescent="0.35">
      <c r="B78" s="24"/>
      <c r="C78" s="7">
        <v>2018</v>
      </c>
      <c r="D78" s="10">
        <v>2</v>
      </c>
      <c r="E78" s="10" t="s">
        <v>143</v>
      </c>
      <c r="F78" s="10">
        <v>2018.25</v>
      </c>
      <c r="G78" s="10">
        <v>94.568814345388802</v>
      </c>
      <c r="H78" s="10">
        <v>107.312866950398</v>
      </c>
      <c r="I78" s="10">
        <v>114.660873129805</v>
      </c>
      <c r="J78" s="10">
        <v>108.253130110835</v>
      </c>
      <c r="K78" s="10">
        <v>91.946553841544002</v>
      </c>
      <c r="L78" s="10">
        <v>115.267572907944</v>
      </c>
      <c r="M78" s="10">
        <v>1000</v>
      </c>
      <c r="N78" s="10">
        <f t="shared" si="3"/>
        <v>94.62595566542042</v>
      </c>
      <c r="O78" s="10">
        <f t="shared" si="4"/>
        <v>106.2694732634674</v>
      </c>
      <c r="P78" s="10">
        <v>100</v>
      </c>
      <c r="Q78" s="34"/>
      <c r="R78" s="27"/>
      <c r="S78" s="10"/>
      <c r="T78" s="10"/>
      <c r="U78" s="10"/>
      <c r="V78" s="10"/>
      <c r="W78" s="10"/>
      <c r="X78" s="10"/>
      <c r="Y78" s="10"/>
      <c r="Z78" s="10"/>
      <c r="AA78" s="34"/>
      <c r="AB78" s="27"/>
      <c r="AC78" s="11"/>
      <c r="AD78" s="11"/>
      <c r="AE78" s="11"/>
      <c r="AF78" s="11"/>
    </row>
    <row r="79" spans="2:32" ht="11.25" customHeight="1" x14ac:dyDescent="0.35">
      <c r="B79" s="24"/>
      <c r="C79" s="7">
        <v>2018</v>
      </c>
      <c r="D79" s="10">
        <v>3</v>
      </c>
      <c r="E79" s="10" t="s">
        <v>144</v>
      </c>
      <c r="F79" s="10">
        <v>2018.5</v>
      </c>
      <c r="G79" s="10">
        <v>94.561018507491397</v>
      </c>
      <c r="H79" s="10">
        <v>106.931423893586</v>
      </c>
      <c r="I79" s="10">
        <v>114.021171914375</v>
      </c>
      <c r="J79" s="10">
        <v>108.581754510705</v>
      </c>
      <c r="K79" s="10">
        <v>91.579793295577701</v>
      </c>
      <c r="L79" s="10">
        <v>113.95545605506599</v>
      </c>
      <c r="M79" s="10">
        <v>1000</v>
      </c>
      <c r="N79" s="10">
        <f t="shared" si="3"/>
        <v>94.741418011434945</v>
      </c>
      <c r="O79" s="10">
        <f t="shared" si="4"/>
        <v>106.29136754401843</v>
      </c>
      <c r="P79" s="10">
        <v>100</v>
      </c>
      <c r="Q79" s="34"/>
      <c r="R79" s="27"/>
      <c r="S79" s="10"/>
      <c r="T79" s="10"/>
      <c r="U79" s="10"/>
      <c r="V79" s="10"/>
      <c r="W79" s="10"/>
      <c r="X79" s="10"/>
      <c r="Y79" s="10"/>
      <c r="Z79" s="10"/>
      <c r="AA79" s="34"/>
      <c r="AB79" s="27"/>
      <c r="AC79" s="11"/>
      <c r="AD79" s="11"/>
      <c r="AE79" s="11"/>
      <c r="AF79" s="11"/>
    </row>
    <row r="80" spans="2:32" ht="11.25" customHeight="1" x14ac:dyDescent="0.35">
      <c r="B80" s="24"/>
      <c r="C80" s="7">
        <v>2018</v>
      </c>
      <c r="D80" s="10">
        <v>4</v>
      </c>
      <c r="E80" s="10" t="s">
        <v>145</v>
      </c>
      <c r="F80" s="10">
        <v>2018.75</v>
      </c>
      <c r="G80" s="10">
        <v>95.232344602140799</v>
      </c>
      <c r="H80" s="10">
        <v>107.276031628997</v>
      </c>
      <c r="I80" s="10">
        <v>114.119933710312</v>
      </c>
      <c r="J80" s="10">
        <v>109.320475901411</v>
      </c>
      <c r="K80" s="10">
        <v>92.043782559815497</v>
      </c>
      <c r="L80" s="10">
        <v>113.93197004082499</v>
      </c>
      <c r="M80" s="10">
        <v>1000</v>
      </c>
      <c r="N80" s="10">
        <f t="shared" si="3"/>
        <v>94.856880357449469</v>
      </c>
      <c r="O80" s="10">
        <f t="shared" si="4"/>
        <v>106.31326182456945</v>
      </c>
      <c r="P80" s="10">
        <v>100</v>
      </c>
      <c r="Q80" s="34"/>
      <c r="R80" s="27"/>
      <c r="S80" s="10"/>
      <c r="T80" s="10"/>
      <c r="U80" s="10"/>
      <c r="V80" s="10"/>
      <c r="W80" s="10"/>
      <c r="X80" s="10"/>
      <c r="Y80" s="10"/>
      <c r="Z80" s="10"/>
      <c r="AA80" s="34"/>
      <c r="AB80" s="27"/>
      <c r="AC80" s="11"/>
      <c r="AD80" s="11"/>
      <c r="AE80" s="11"/>
      <c r="AF80" s="11"/>
    </row>
    <row r="81" spans="2:32" ht="11.25" customHeight="1" x14ac:dyDescent="0.35">
      <c r="B81" s="24"/>
      <c r="C81" s="7">
        <v>2019</v>
      </c>
      <c r="D81" s="10">
        <v>1</v>
      </c>
      <c r="E81" s="10" t="s">
        <v>146</v>
      </c>
      <c r="F81" s="10">
        <v>2019</v>
      </c>
      <c r="G81" s="10">
        <v>93.935952280172899</v>
      </c>
      <c r="H81" s="10">
        <v>107.66232125809</v>
      </c>
      <c r="I81" s="10">
        <v>114.735550812637</v>
      </c>
      <c r="J81" s="10">
        <v>110.193129830345</v>
      </c>
      <c r="K81" s="10">
        <v>91.422142080852396</v>
      </c>
      <c r="L81" s="10">
        <v>114.678877440006</v>
      </c>
      <c r="M81" s="10">
        <v>1000</v>
      </c>
      <c r="N81" s="10">
        <f t="shared" si="3"/>
        <v>94.972342703463994</v>
      </c>
      <c r="O81" s="10">
        <f t="shared" si="4"/>
        <v>106.33515610512048</v>
      </c>
      <c r="P81" s="10">
        <v>100</v>
      </c>
      <c r="Q81" s="34"/>
      <c r="R81" s="27"/>
      <c r="S81" s="10"/>
      <c r="T81" s="10"/>
      <c r="U81" s="10"/>
      <c r="V81" s="10"/>
      <c r="W81" s="10"/>
      <c r="X81" s="10"/>
      <c r="Y81" s="10"/>
      <c r="Z81" s="10"/>
      <c r="AA81" s="34"/>
      <c r="AB81" s="27"/>
      <c r="AC81" s="11"/>
      <c r="AD81" s="11"/>
      <c r="AE81" s="11"/>
      <c r="AF81" s="11"/>
    </row>
    <row r="82" spans="2:32" ht="11.25" customHeight="1" x14ac:dyDescent="0.35">
      <c r="B82" s="24"/>
      <c r="C82" s="7">
        <v>2019</v>
      </c>
      <c r="D82" s="10">
        <v>2</v>
      </c>
      <c r="E82" s="10" t="s">
        <v>147</v>
      </c>
      <c r="F82" s="10">
        <v>2019.25</v>
      </c>
      <c r="G82" s="10">
        <v>94.568206496074595</v>
      </c>
      <c r="H82" s="10">
        <v>108.21058519309599</v>
      </c>
      <c r="I82" s="10">
        <v>115.16812313440499</v>
      </c>
      <c r="J82" s="10">
        <v>109.953127851218</v>
      </c>
      <c r="K82" s="10">
        <v>93.187093825473298</v>
      </c>
      <c r="L82" s="10">
        <v>114.681678701328</v>
      </c>
      <c r="M82" s="10">
        <v>1000</v>
      </c>
      <c r="N82" s="10">
        <f t="shared" si="3"/>
        <v>95.087805049478519</v>
      </c>
      <c r="O82" s="10">
        <f t="shared" si="4"/>
        <v>106.3570503856715</v>
      </c>
      <c r="P82" s="10">
        <v>100</v>
      </c>
      <c r="Q82" s="34"/>
      <c r="R82" s="27"/>
      <c r="S82" s="10"/>
      <c r="T82" s="10"/>
      <c r="U82" s="10"/>
      <c r="V82" s="10"/>
      <c r="W82" s="10"/>
      <c r="X82" s="10"/>
      <c r="Y82" s="10"/>
      <c r="Z82" s="10"/>
      <c r="AA82" s="34"/>
      <c r="AB82" s="27"/>
      <c r="AC82" s="11"/>
      <c r="AD82" s="11"/>
      <c r="AE82" s="11"/>
      <c r="AF82" s="11"/>
    </row>
    <row r="83" spans="2:32" ht="11.25" customHeight="1" x14ac:dyDescent="0.35">
      <c r="B83" s="24"/>
      <c r="C83" s="7">
        <v>2019</v>
      </c>
      <c r="D83" s="10">
        <v>3</v>
      </c>
      <c r="E83" s="10" t="s">
        <v>148</v>
      </c>
      <c r="F83" s="10">
        <v>2019.5</v>
      </c>
      <c r="G83" s="10">
        <v>93.842213286874795</v>
      </c>
      <c r="H83" s="10">
        <v>107.9820488015</v>
      </c>
      <c r="I83" s="10">
        <v>115.335103941775</v>
      </c>
      <c r="J83" s="10">
        <v>108.88972814340001</v>
      </c>
      <c r="K83" s="10">
        <v>92.861320018304298</v>
      </c>
      <c r="L83" s="10">
        <v>115.388450326919</v>
      </c>
      <c r="M83" s="10">
        <v>1000</v>
      </c>
      <c r="N83" s="10">
        <f t="shared" si="3"/>
        <v>95.203267395493043</v>
      </c>
      <c r="O83" s="10">
        <f t="shared" si="4"/>
        <v>106.37894466622252</v>
      </c>
      <c r="P83" s="10">
        <v>100</v>
      </c>
      <c r="Q83" s="34"/>
      <c r="R83" s="27"/>
      <c r="S83" s="10"/>
      <c r="T83" s="10"/>
      <c r="U83" s="10"/>
      <c r="V83" s="10"/>
      <c r="W83" s="10"/>
      <c r="X83" s="10"/>
      <c r="Y83" s="10"/>
      <c r="Z83" s="10"/>
      <c r="AA83" s="34"/>
      <c r="AB83" s="27"/>
      <c r="AC83" s="11"/>
      <c r="AD83" s="11"/>
      <c r="AE83" s="11"/>
      <c r="AF83" s="11"/>
    </row>
    <row r="84" spans="2:32" ht="11.25" customHeight="1" x14ac:dyDescent="0.35">
      <c r="B84" s="24"/>
      <c r="C84" s="7">
        <v>2019</v>
      </c>
      <c r="D84" s="10">
        <v>4</v>
      </c>
      <c r="E84" s="10" t="s">
        <v>149</v>
      </c>
      <c r="F84" s="10">
        <v>2019.75</v>
      </c>
      <c r="G84" s="10">
        <v>94.408793388778406</v>
      </c>
      <c r="H84" s="10">
        <v>107.933910974938</v>
      </c>
      <c r="I84" s="10">
        <v>115.92950096714701</v>
      </c>
      <c r="J84" s="10">
        <v>107.80987141369501</v>
      </c>
      <c r="K84" s="10">
        <v>93.246696034899401</v>
      </c>
      <c r="L84" s="10">
        <v>114.425962639076</v>
      </c>
      <c r="M84" s="10">
        <v>1000</v>
      </c>
      <c r="N84" s="10">
        <f t="shared" si="3"/>
        <v>95.318729741507568</v>
      </c>
      <c r="O84" s="10">
        <f t="shared" si="4"/>
        <v>106.40083894677355</v>
      </c>
      <c r="P84" s="10">
        <v>100</v>
      </c>
      <c r="Q84" s="34"/>
      <c r="R84" s="27"/>
      <c r="S84" s="10"/>
      <c r="T84" s="10"/>
      <c r="U84" s="10"/>
      <c r="V84" s="10"/>
      <c r="W84" s="10"/>
      <c r="X84" s="10"/>
      <c r="Y84" s="10"/>
      <c r="Z84" s="10"/>
      <c r="AA84" s="34"/>
      <c r="AB84" s="27"/>
      <c r="AC84" s="11"/>
      <c r="AD84" s="11"/>
      <c r="AE84" s="11"/>
      <c r="AF84" s="11"/>
    </row>
    <row r="85" spans="2:32" ht="11.25" customHeight="1" x14ac:dyDescent="0.35">
      <c r="B85" s="24"/>
      <c r="C85" s="7">
        <v>2020</v>
      </c>
      <c r="D85" s="10">
        <v>1</v>
      </c>
      <c r="E85" s="10" t="s">
        <v>150</v>
      </c>
      <c r="F85" s="10">
        <v>2020</v>
      </c>
      <c r="G85" s="10">
        <v>93.054369640321994</v>
      </c>
      <c r="H85" s="10">
        <v>106.98222746393</v>
      </c>
      <c r="I85" s="10">
        <v>113.69744249639299</v>
      </c>
      <c r="J85" s="10">
        <v>105.41562478244499</v>
      </c>
      <c r="K85" s="10">
        <v>93.500522286890799</v>
      </c>
      <c r="L85" s="10">
        <v>119.75381146989</v>
      </c>
      <c r="M85" s="10">
        <v>1000</v>
      </c>
      <c r="N85" s="10">
        <f t="shared" si="3"/>
        <v>95.434192087522092</v>
      </c>
      <c r="O85" s="10">
        <f t="shared" si="4"/>
        <v>106.42273322732457</v>
      </c>
      <c r="P85" s="10">
        <v>100</v>
      </c>
      <c r="Q85" s="34"/>
      <c r="R85" s="27"/>
      <c r="S85" s="10"/>
      <c r="T85" s="10"/>
      <c r="U85" s="10"/>
      <c r="V85" s="10"/>
      <c r="W85" s="10"/>
      <c r="X85" s="10"/>
      <c r="Y85" s="10"/>
      <c r="Z85" s="10"/>
      <c r="AA85" s="34"/>
      <c r="AB85" s="27"/>
      <c r="AC85" s="11"/>
      <c r="AD85" s="11"/>
      <c r="AE85" s="11"/>
      <c r="AF85" s="11"/>
    </row>
    <row r="86" spans="2:32" ht="11.25" customHeight="1" x14ac:dyDescent="0.35">
      <c r="B86" s="24"/>
      <c r="C86" s="7">
        <v>2020</v>
      </c>
      <c r="D86" s="10">
        <v>2</v>
      </c>
      <c r="E86" s="10" t="s">
        <v>151</v>
      </c>
      <c r="F86" s="10">
        <v>2020.25</v>
      </c>
      <c r="G86" s="10">
        <v>89.048847823558305</v>
      </c>
      <c r="H86" s="10">
        <v>109.5374694189</v>
      </c>
      <c r="I86" s="10">
        <v>115.037388057421</v>
      </c>
      <c r="J86" s="10">
        <v>115.03988160841099</v>
      </c>
      <c r="K86" s="10">
        <v>94.210624913443596</v>
      </c>
      <c r="L86" s="10">
        <v>113.846953509637</v>
      </c>
      <c r="M86" s="10">
        <v>1000</v>
      </c>
      <c r="N86" s="10">
        <f t="shared" si="3"/>
        <v>95.549654433536617</v>
      </c>
      <c r="O86" s="10">
        <f t="shared" si="4"/>
        <v>106.44462750787559</v>
      </c>
      <c r="P86" s="10">
        <v>100</v>
      </c>
      <c r="Q86" s="34"/>
      <c r="R86" s="27"/>
      <c r="S86" s="10"/>
      <c r="T86" s="10"/>
      <c r="U86" s="10"/>
      <c r="V86" s="10"/>
      <c r="W86" s="10"/>
      <c r="X86" s="10"/>
      <c r="Y86" s="10"/>
      <c r="Z86" s="10"/>
      <c r="AA86" s="34"/>
      <c r="AB86" s="27"/>
      <c r="AC86" s="11"/>
      <c r="AD86" s="11"/>
      <c r="AE86" s="11"/>
      <c r="AF86" s="11"/>
    </row>
    <row r="87" spans="2:32" ht="11.25" customHeight="1" x14ac:dyDescent="0.35">
      <c r="B87" s="24"/>
      <c r="C87" s="7">
        <v>2020</v>
      </c>
      <c r="D87" s="10">
        <v>3</v>
      </c>
      <c r="E87" s="10" t="s">
        <v>152</v>
      </c>
      <c r="F87" s="10">
        <v>2020.5</v>
      </c>
      <c r="G87" s="10">
        <v>88.378632791020905</v>
      </c>
      <c r="H87" s="10">
        <v>110.59079590923101</v>
      </c>
      <c r="I87" s="10">
        <v>119.104534545704</v>
      </c>
      <c r="J87" s="10">
        <v>106.405326829147</v>
      </c>
      <c r="K87" s="10">
        <v>98.3060807392241</v>
      </c>
      <c r="L87" s="10">
        <v>121.425814292292</v>
      </c>
      <c r="M87" s="10">
        <v>1000</v>
      </c>
      <c r="N87" s="10">
        <f t="shared" si="3"/>
        <v>95.665116779551141</v>
      </c>
      <c r="O87" s="10">
        <f t="shared" si="4"/>
        <v>106.46652178842662</v>
      </c>
      <c r="P87" s="10">
        <v>100</v>
      </c>
      <c r="Q87" s="34"/>
      <c r="R87" s="27"/>
      <c r="S87" s="10"/>
      <c r="T87" s="10"/>
      <c r="U87" s="10"/>
      <c r="V87" s="10"/>
      <c r="W87" s="10"/>
      <c r="X87" s="10"/>
      <c r="Y87" s="10"/>
      <c r="Z87" s="10"/>
      <c r="AA87" s="34"/>
      <c r="AB87" s="27"/>
      <c r="AC87" s="11"/>
      <c r="AD87" s="11"/>
      <c r="AE87" s="11"/>
      <c r="AF87" s="11"/>
    </row>
    <row r="88" spans="2:32" ht="11.25" customHeight="1" x14ac:dyDescent="0.35">
      <c r="B88" s="24"/>
      <c r="C88" s="7">
        <v>2020</v>
      </c>
      <c r="D88" s="10">
        <v>4</v>
      </c>
      <c r="E88" s="10" t="s">
        <v>153</v>
      </c>
      <c r="F88" s="10">
        <v>2020.75</v>
      </c>
      <c r="G88" s="10">
        <v>88.032385631704599</v>
      </c>
      <c r="H88" s="10">
        <v>108.99104577462499</v>
      </c>
      <c r="I88" s="10">
        <v>116.05547192684401</v>
      </c>
      <c r="J88" s="10">
        <v>108.18509446704201</v>
      </c>
      <c r="K88" s="10">
        <v>94.758022184661996</v>
      </c>
      <c r="L88" s="10">
        <v>121.193720537112</v>
      </c>
      <c r="M88" s="10">
        <v>1000</v>
      </c>
      <c r="N88" s="10">
        <f t="shared" si="3"/>
        <v>95.780579125565666</v>
      </c>
      <c r="O88" s="10">
        <f t="shared" si="4"/>
        <v>106.48841606897764</v>
      </c>
      <c r="P88" s="10">
        <v>100</v>
      </c>
      <c r="Q88" s="34"/>
      <c r="R88" s="27"/>
      <c r="S88" s="10"/>
      <c r="T88" s="10"/>
      <c r="U88" s="10"/>
      <c r="V88" s="10"/>
      <c r="W88" s="10"/>
      <c r="X88" s="10"/>
      <c r="Y88" s="10"/>
      <c r="Z88" s="10"/>
      <c r="AA88" s="34"/>
      <c r="AB88" s="27"/>
      <c r="AC88" s="11"/>
      <c r="AD88" s="11"/>
      <c r="AE88" s="11"/>
      <c r="AF88" s="11"/>
    </row>
    <row r="89" spans="2:32" ht="11.25" customHeight="1" x14ac:dyDescent="0.35">
      <c r="B89" s="24"/>
      <c r="C89" s="7">
        <v>2021</v>
      </c>
      <c r="D89" s="10">
        <v>1</v>
      </c>
      <c r="E89" s="10" t="s">
        <v>154</v>
      </c>
      <c r="F89" s="10">
        <v>2021</v>
      </c>
      <c r="G89" s="10">
        <v>91.8437979147959</v>
      </c>
      <c r="H89" s="10">
        <v>108.548811782793</v>
      </c>
      <c r="I89" s="10">
        <v>115.17418816263201</v>
      </c>
      <c r="J89" s="10">
        <v>107.668008447555</v>
      </c>
      <c r="K89" s="10">
        <v>95.031450217508194</v>
      </c>
      <c r="L89" s="10">
        <v>120.94385168564899</v>
      </c>
      <c r="M89" s="10">
        <v>1000</v>
      </c>
      <c r="N89" s="10">
        <f t="shared" si="3"/>
        <v>95.89604147158019</v>
      </c>
      <c r="O89" s="10">
        <f t="shared" si="4"/>
        <v>106.51031034952867</v>
      </c>
      <c r="P89" s="10">
        <v>100</v>
      </c>
      <c r="Q89" s="34"/>
      <c r="R89" s="27"/>
      <c r="S89" s="10"/>
      <c r="T89" s="10"/>
      <c r="U89" s="10"/>
      <c r="V89" s="10"/>
      <c r="W89" s="10"/>
      <c r="X89" s="10"/>
      <c r="Y89" s="10"/>
      <c r="Z89" s="10"/>
      <c r="AA89" s="34"/>
      <c r="AB89" s="27"/>
      <c r="AC89" s="11"/>
      <c r="AD89" s="11"/>
      <c r="AE89" s="11"/>
      <c r="AF89" s="11"/>
    </row>
    <row r="90" spans="2:32" ht="11.25" customHeight="1" x14ac:dyDescent="0.35">
      <c r="B90" s="24"/>
      <c r="C90" s="7">
        <v>2021</v>
      </c>
      <c r="D90" s="10">
        <v>2</v>
      </c>
      <c r="E90" s="10" t="s">
        <v>155</v>
      </c>
      <c r="F90" s="10">
        <v>2021.25</v>
      </c>
      <c r="G90" s="10">
        <v>89.195342876484006</v>
      </c>
      <c r="H90" s="10">
        <v>108.37378580553001</v>
      </c>
      <c r="I90" s="10">
        <v>114.09542532067699</v>
      </c>
      <c r="J90" s="10">
        <v>107.233268506644</v>
      </c>
      <c r="K90" s="10">
        <v>95.484632416658997</v>
      </c>
      <c r="L90" s="10">
        <v>123.735675627398</v>
      </c>
      <c r="M90" s="10">
        <v>1000</v>
      </c>
      <c r="N90" s="10">
        <f t="shared" si="3"/>
        <v>96.011503817594715</v>
      </c>
      <c r="O90" s="10">
        <f t="shared" si="4"/>
        <v>106.53220463007969</v>
      </c>
      <c r="P90" s="10">
        <v>100</v>
      </c>
      <c r="Q90" s="34"/>
      <c r="R90" s="27"/>
      <c r="S90" s="10"/>
      <c r="T90" s="10"/>
      <c r="U90" s="10"/>
      <c r="V90" s="10"/>
      <c r="W90" s="10"/>
      <c r="X90" s="10"/>
      <c r="Y90" s="10"/>
      <c r="Z90" s="10"/>
      <c r="AA90" s="34"/>
      <c r="AB90" s="27"/>
      <c r="AC90" s="11"/>
      <c r="AD90" s="11"/>
      <c r="AE90" s="11"/>
      <c r="AF90" s="11"/>
    </row>
    <row r="91" spans="2:32" ht="11.25" customHeight="1" x14ac:dyDescent="0.35">
      <c r="B91" s="24"/>
      <c r="C91" s="7">
        <v>2021</v>
      </c>
      <c r="D91" s="10">
        <v>3</v>
      </c>
      <c r="E91" s="10" t="s">
        <v>156</v>
      </c>
      <c r="F91" s="10">
        <v>2021.5</v>
      </c>
      <c r="G91" s="10">
        <v>91.054992603630694</v>
      </c>
      <c r="H91" s="10">
        <v>107.864544074541</v>
      </c>
      <c r="I91" s="10">
        <v>114.99040603127099</v>
      </c>
      <c r="J91" s="10">
        <v>103.85038868178</v>
      </c>
      <c r="K91" s="10">
        <v>94.107041375332699</v>
      </c>
      <c r="L91" s="10">
        <v>128.09600799740801</v>
      </c>
      <c r="M91" s="10">
        <v>1000</v>
      </c>
      <c r="N91" s="10">
        <f t="shared" si="3"/>
        <v>96.126966163609239</v>
      </c>
      <c r="O91" s="10">
        <f t="shared" si="4"/>
        <v>106.55409891063071</v>
      </c>
      <c r="P91" s="10">
        <v>100</v>
      </c>
      <c r="Q91" s="34"/>
      <c r="R91" s="27"/>
      <c r="S91" s="10"/>
      <c r="T91" s="10"/>
      <c r="U91" s="10"/>
      <c r="V91" s="10"/>
      <c r="W91" s="10"/>
      <c r="X91" s="10"/>
      <c r="Y91" s="10"/>
      <c r="Z91" s="10"/>
      <c r="AA91" s="34"/>
      <c r="AB91" s="27"/>
      <c r="AC91" s="11"/>
      <c r="AD91" s="11"/>
      <c r="AE91" s="11"/>
      <c r="AF91" s="11"/>
    </row>
    <row r="92" spans="2:32" ht="11.25" customHeight="1" x14ac:dyDescent="0.35">
      <c r="B92" s="24"/>
      <c r="C92" s="7">
        <v>2021</v>
      </c>
      <c r="D92" s="10">
        <v>4</v>
      </c>
      <c r="E92" s="10" t="s">
        <v>157</v>
      </c>
      <c r="F92" s="10">
        <v>2021.75</v>
      </c>
      <c r="G92" s="10">
        <v>92.624710797584399</v>
      </c>
      <c r="H92" s="10">
        <v>107.582007434956</v>
      </c>
      <c r="I92" s="10">
        <v>114.512537769293</v>
      </c>
      <c r="J92" s="10">
        <v>103.12552097677499</v>
      </c>
      <c r="K92" s="10">
        <v>95.502768198192001</v>
      </c>
      <c r="L92" s="10">
        <v>125.32650705390699</v>
      </c>
      <c r="M92" s="10">
        <v>1000</v>
      </c>
      <c r="N92" s="10">
        <f t="shared" si="3"/>
        <v>96.242428509623764</v>
      </c>
      <c r="O92" s="10">
        <f t="shared" si="4"/>
        <v>106.57599319118174</v>
      </c>
      <c r="P92" s="10">
        <v>100</v>
      </c>
      <c r="Q92" s="34"/>
      <c r="R92" s="27"/>
      <c r="S92" s="10"/>
      <c r="T92" s="10"/>
      <c r="U92" s="10"/>
      <c r="V92" s="10"/>
      <c r="W92" s="10"/>
      <c r="X92" s="10"/>
      <c r="Y92" s="10"/>
      <c r="Z92" s="10"/>
      <c r="AA92" s="34"/>
      <c r="AB92" s="27"/>
      <c r="AC92" s="11"/>
      <c r="AD92" s="11"/>
      <c r="AE92" s="11"/>
      <c r="AF92" s="11"/>
    </row>
    <row r="93" spans="2:32" ht="11.25" customHeight="1" x14ac:dyDescent="0.35">
      <c r="B93" s="24"/>
      <c r="C93" s="7">
        <v>2022</v>
      </c>
      <c r="D93" s="10">
        <v>1</v>
      </c>
      <c r="E93" s="10" t="s">
        <v>158</v>
      </c>
      <c r="F93" s="10">
        <v>2022</v>
      </c>
      <c r="G93" s="10">
        <v>94.046418791941207</v>
      </c>
      <c r="H93" s="10">
        <v>107.39188996550401</v>
      </c>
      <c r="I93" s="10">
        <v>113.971946225373</v>
      </c>
      <c r="J93" s="10">
        <v>102.795722932248</v>
      </c>
      <c r="K93" s="10">
        <v>95.823693125375598</v>
      </c>
      <c r="L93" s="10">
        <v>125.667748254562</v>
      </c>
      <c r="M93" s="10">
        <v>1000</v>
      </c>
      <c r="N93" s="10">
        <f t="shared" si="3"/>
        <v>96.357890855638288</v>
      </c>
      <c r="O93" s="10">
        <f t="shared" si="4"/>
        <v>106.59788747173276</v>
      </c>
      <c r="P93" s="10">
        <v>100</v>
      </c>
      <c r="Q93" s="34"/>
      <c r="R93" s="27"/>
      <c r="S93" s="10"/>
      <c r="T93" s="10"/>
      <c r="U93" s="10"/>
      <c r="V93" s="10"/>
      <c r="W93" s="10"/>
      <c r="X93" s="10"/>
      <c r="Y93" s="10"/>
      <c r="Z93" s="10"/>
      <c r="AA93" s="34"/>
      <c r="AB93" s="27"/>
      <c r="AC93" s="11"/>
      <c r="AD93" s="11"/>
      <c r="AE93" s="11"/>
      <c r="AF93" s="11"/>
    </row>
    <row r="94" spans="2:32" ht="11.25" customHeight="1" x14ac:dyDescent="0.35">
      <c r="B94" s="24"/>
      <c r="C94" s="7">
        <v>2022</v>
      </c>
      <c r="D94" s="10">
        <v>2</v>
      </c>
      <c r="E94" s="10" t="s">
        <v>159</v>
      </c>
      <c r="F94" s="10">
        <v>2022.25</v>
      </c>
      <c r="G94" s="10">
        <v>95.493953306334106</v>
      </c>
      <c r="H94" s="10">
        <v>107.026062224873</v>
      </c>
      <c r="I94" s="10">
        <v>112.724563649239</v>
      </c>
      <c r="J94" s="10">
        <v>102.37886561629399</v>
      </c>
      <c r="K94" s="10">
        <v>96.375390777477406</v>
      </c>
      <c r="L94" s="10">
        <v>126.68139301547799</v>
      </c>
      <c r="M94" s="10">
        <v>1000</v>
      </c>
      <c r="N94" s="10">
        <f t="shared" si="3"/>
        <v>96.473353201652813</v>
      </c>
      <c r="O94" s="10">
        <f t="shared" si="4"/>
        <v>106.61978175228379</v>
      </c>
      <c r="P94" s="10">
        <v>100</v>
      </c>
      <c r="Q94" s="34"/>
      <c r="R94" s="27"/>
      <c r="S94" s="10"/>
      <c r="T94" s="10"/>
      <c r="U94" s="10"/>
      <c r="V94" s="10"/>
      <c r="W94" s="10"/>
      <c r="X94" s="10"/>
      <c r="Y94" s="10"/>
      <c r="Z94" s="10"/>
      <c r="AA94" s="34"/>
      <c r="AB94" s="27"/>
      <c r="AC94" s="11"/>
      <c r="AD94" s="11"/>
      <c r="AE94" s="11"/>
      <c r="AF94" s="11"/>
    </row>
    <row r="95" spans="2:32" ht="11.25" customHeight="1" x14ac:dyDescent="0.35">
      <c r="B95" s="24"/>
      <c r="C95" s="7">
        <v>2022</v>
      </c>
      <c r="D95" s="10">
        <v>3</v>
      </c>
      <c r="E95" s="10" t="s">
        <v>160</v>
      </c>
      <c r="F95" s="10">
        <v>2022.5</v>
      </c>
      <c r="G95" s="10">
        <v>96.345991187065096</v>
      </c>
      <c r="H95" s="10">
        <v>106.620745735244</v>
      </c>
      <c r="I95" s="10">
        <v>112.460891035809</v>
      </c>
      <c r="J95" s="10">
        <v>102.451898810854</v>
      </c>
      <c r="K95" s="10">
        <v>96.2216423993343</v>
      </c>
      <c r="L95" s="10">
        <v>123.57102215388799</v>
      </c>
      <c r="M95" s="10">
        <v>1000</v>
      </c>
      <c r="N95" s="10">
        <f t="shared" si="3"/>
        <v>96.588815547667338</v>
      </c>
      <c r="O95" s="10">
        <f t="shared" si="4"/>
        <v>106.64167603283481</v>
      </c>
      <c r="P95" s="10">
        <v>100</v>
      </c>
      <c r="Q95" s="34"/>
      <c r="R95" s="27"/>
      <c r="S95" s="10"/>
      <c r="T95" s="10"/>
      <c r="U95" s="10"/>
      <c r="V95" s="10"/>
      <c r="W95" s="10"/>
      <c r="X95" s="10"/>
      <c r="Y95" s="10"/>
      <c r="Z95" s="10"/>
      <c r="AA95" s="34"/>
      <c r="AB95" s="27"/>
      <c r="AC95" s="11"/>
      <c r="AD95" s="11"/>
      <c r="AE95" s="11"/>
      <c r="AF95" s="11"/>
    </row>
    <row r="96" spans="2:32" ht="11.25" customHeight="1" x14ac:dyDescent="0.35">
      <c r="B96" s="24"/>
      <c r="C96" s="7">
        <v>2022</v>
      </c>
      <c r="D96" s="10">
        <v>4</v>
      </c>
      <c r="E96" s="10" t="s">
        <v>161</v>
      </c>
      <c r="F96" s="10">
        <v>2022.75</v>
      </c>
      <c r="G96" s="10">
        <v>96.420245308278496</v>
      </c>
      <c r="H96" s="10">
        <v>106.53014617577</v>
      </c>
      <c r="I96" s="10">
        <v>113.21523668114099</v>
      </c>
      <c r="J96" s="10">
        <v>102.380006601324</v>
      </c>
      <c r="K96" s="10">
        <v>94.733400057851796</v>
      </c>
      <c r="L96" s="10">
        <v>123.621116510219</v>
      </c>
      <c r="M96" s="10">
        <v>1000</v>
      </c>
      <c r="N96" s="10">
        <f t="shared" si="3"/>
        <v>96.704277893681862</v>
      </c>
      <c r="O96" s="10">
        <f t="shared" si="4"/>
        <v>106.66357031338583</v>
      </c>
      <c r="P96" s="10">
        <v>100</v>
      </c>
      <c r="Q96" s="34"/>
      <c r="R96" s="27"/>
      <c r="S96" s="10"/>
      <c r="T96" s="10"/>
      <c r="U96" s="10"/>
      <c r="V96" s="10"/>
      <c r="W96" s="10"/>
      <c r="X96" s="10"/>
      <c r="Y96" s="10"/>
      <c r="Z96" s="10"/>
      <c r="AA96" s="34"/>
      <c r="AB96" s="27"/>
      <c r="AC96" s="11"/>
      <c r="AD96" s="11"/>
      <c r="AE96" s="11"/>
      <c r="AF96" s="11"/>
    </row>
    <row r="97" spans="2:32" ht="11.25" customHeight="1" x14ac:dyDescent="0.35">
      <c r="B97" s="24"/>
      <c r="C97" s="7">
        <v>2023</v>
      </c>
      <c r="D97" s="10">
        <v>1</v>
      </c>
      <c r="E97" s="10" t="s">
        <v>162</v>
      </c>
      <c r="F97" s="10">
        <v>2023</v>
      </c>
      <c r="G97" s="10">
        <v>94.818713269482402</v>
      </c>
      <c r="H97" s="10">
        <v>105.769373773447</v>
      </c>
      <c r="I97" s="10">
        <v>111.645117103174</v>
      </c>
      <c r="J97" s="10">
        <v>102.174722100496</v>
      </c>
      <c r="K97" s="10">
        <v>94.584146082667999</v>
      </c>
      <c r="L97" s="10">
        <v>122.92789199032001</v>
      </c>
      <c r="M97" s="10">
        <v>1000</v>
      </c>
      <c r="N97" s="10">
        <f t="shared" si="3"/>
        <v>96.819740239696387</v>
      </c>
      <c r="O97" s="10">
        <f t="shared" si="4"/>
        <v>106.68546459393686</v>
      </c>
      <c r="P97" s="10">
        <v>100</v>
      </c>
      <c r="Q97" s="34"/>
      <c r="R97" s="27"/>
      <c r="S97" s="10"/>
      <c r="T97" s="10"/>
      <c r="U97" s="10"/>
      <c r="V97" s="10"/>
      <c r="W97" s="10"/>
      <c r="X97" s="10"/>
      <c r="Y97" s="10"/>
      <c r="Z97" s="10"/>
      <c r="AA97" s="34"/>
      <c r="AB97" s="27"/>
      <c r="AC97" s="11"/>
      <c r="AD97" s="11"/>
      <c r="AE97" s="11"/>
      <c r="AF97" s="11"/>
    </row>
    <row r="98" spans="2:32" ht="11.25" customHeight="1" x14ac:dyDescent="0.35">
      <c r="B98" s="24"/>
      <c r="C98" s="7">
        <v>2023</v>
      </c>
      <c r="D98" s="10">
        <v>2</v>
      </c>
      <c r="E98" s="10" t="s">
        <v>163</v>
      </c>
      <c r="F98" s="10">
        <v>2023.25</v>
      </c>
      <c r="G98" s="10">
        <v>95.964858593781301</v>
      </c>
      <c r="H98" s="10">
        <v>105.49577346580099</v>
      </c>
      <c r="I98" s="10">
        <v>110.664633098999</v>
      </c>
      <c r="J98" s="10">
        <v>103.26653689085001</v>
      </c>
      <c r="K98" s="10">
        <v>94.038396994959996</v>
      </c>
      <c r="L98" s="10">
        <v>122.245459356013</v>
      </c>
      <c r="M98" s="10">
        <v>1000</v>
      </c>
      <c r="N98" s="10">
        <f t="shared" si="3"/>
        <v>96.935202585710911</v>
      </c>
      <c r="O98" s="10">
        <f t="shared" si="4"/>
        <v>106.70735887448788</v>
      </c>
      <c r="P98" s="10">
        <v>100</v>
      </c>
      <c r="Q98" s="34"/>
      <c r="R98" s="27"/>
      <c r="S98" s="10"/>
      <c r="T98" s="10"/>
      <c r="U98" s="10"/>
      <c r="V98" s="10"/>
      <c r="W98" s="10"/>
      <c r="X98" s="10"/>
      <c r="Y98" s="10"/>
      <c r="Z98" s="10"/>
      <c r="AA98" s="34"/>
      <c r="AB98" s="27"/>
      <c r="AC98" s="11"/>
      <c r="AD98" s="11"/>
      <c r="AE98" s="11"/>
      <c r="AF98" s="11"/>
    </row>
    <row r="99" spans="2:32" ht="11.25" customHeight="1" x14ac:dyDescent="0.35">
      <c r="B99" s="24"/>
      <c r="C99" s="7">
        <v>2023</v>
      </c>
      <c r="D99" s="10">
        <v>3</v>
      </c>
      <c r="E99" s="10" t="s">
        <v>164</v>
      </c>
      <c r="F99" s="10">
        <v>2023.5</v>
      </c>
      <c r="G99" s="10">
        <v>95.460948940152605</v>
      </c>
      <c r="H99" s="10">
        <v>105.49149211147</v>
      </c>
      <c r="I99" s="10">
        <v>111.237175608019</v>
      </c>
      <c r="J99" s="10">
        <v>103.086461692323</v>
      </c>
      <c r="K99" s="10">
        <v>93.954655967858898</v>
      </c>
      <c r="L99" s="10">
        <v>120.550532682202</v>
      </c>
      <c r="M99" s="10">
        <v>1000</v>
      </c>
      <c r="N99" s="10">
        <f t="shared" si="3"/>
        <v>97.050664931725436</v>
      </c>
      <c r="O99" s="10">
        <f t="shared" si="4"/>
        <v>106.7292531550389</v>
      </c>
      <c r="P99" s="10">
        <v>100</v>
      </c>
      <c r="Q99" s="34"/>
      <c r="R99" s="27"/>
      <c r="S99" s="10"/>
      <c r="T99" s="10"/>
      <c r="U99" s="10"/>
      <c r="V99" s="10"/>
      <c r="W99" s="10"/>
      <c r="X99" s="10"/>
      <c r="Y99" s="10"/>
      <c r="Z99" s="10"/>
      <c r="AA99" s="34"/>
      <c r="AB99" s="27"/>
      <c r="AC99" s="11"/>
      <c r="AD99" s="11"/>
      <c r="AE99" s="11"/>
      <c r="AF99" s="11"/>
    </row>
    <row r="100" spans="2:32" ht="11.25" customHeight="1" x14ac:dyDescent="0.35">
      <c r="B100" s="24"/>
      <c r="C100" s="7">
        <v>2023</v>
      </c>
      <c r="D100" s="10">
        <v>4</v>
      </c>
      <c r="E100" s="10" t="s">
        <v>165</v>
      </c>
      <c r="F100" s="10">
        <v>2023.75</v>
      </c>
      <c r="G100" s="10">
        <v>95.619218590828496</v>
      </c>
      <c r="H100" s="10">
        <v>106.64649332606101</v>
      </c>
      <c r="I100" s="10">
        <v>113.888795925048</v>
      </c>
      <c r="J100" s="10">
        <v>103.858620996779</v>
      </c>
      <c r="K100" s="10">
        <v>93.298974882311995</v>
      </c>
      <c r="L100" s="10">
        <v>121.563532747154</v>
      </c>
      <c r="M100" s="10">
        <v>1000</v>
      </c>
      <c r="N100" s="10">
        <f t="shared" si="3"/>
        <v>97.16612727773996</v>
      </c>
      <c r="O100" s="10">
        <f t="shared" si="4"/>
        <v>106.75114743558993</v>
      </c>
      <c r="P100" s="10">
        <v>100</v>
      </c>
      <c r="Q100" s="34"/>
      <c r="R100" s="27"/>
      <c r="S100" s="10"/>
      <c r="T100" s="10"/>
      <c r="U100" s="10"/>
      <c r="V100" s="10"/>
      <c r="W100" s="10"/>
      <c r="X100" s="10"/>
      <c r="Y100" s="10"/>
      <c r="Z100" s="10"/>
      <c r="AA100" s="34"/>
      <c r="AB100" s="27"/>
      <c r="AC100" s="11"/>
      <c r="AD100" s="11"/>
      <c r="AE100" s="11"/>
      <c r="AF100" s="11"/>
    </row>
    <row r="101" spans="2:32" ht="11.25" customHeight="1" x14ac:dyDescent="0.35">
      <c r="B101" s="24"/>
      <c r="C101" s="7">
        <v>2024</v>
      </c>
      <c r="D101" s="10">
        <v>1</v>
      </c>
      <c r="E101" s="10" t="s">
        <v>166</v>
      </c>
      <c r="F101" s="10">
        <v>2024</v>
      </c>
      <c r="G101" s="10">
        <v>95.790489750931798</v>
      </c>
      <c r="H101" s="10">
        <v>106.15431572444599</v>
      </c>
      <c r="I101" s="10">
        <v>112.619799439907</v>
      </c>
      <c r="J101" s="10">
        <v>103.783689939471</v>
      </c>
      <c r="K101" s="10">
        <v>93.174570492170901</v>
      </c>
      <c r="L101" s="10">
        <v>122.00548679885701</v>
      </c>
      <c r="M101" s="10">
        <v>1000</v>
      </c>
      <c r="N101" s="10">
        <f t="shared" si="3"/>
        <v>97.281589623754485</v>
      </c>
      <c r="O101" s="10">
        <f t="shared" si="4"/>
        <v>106.77304171614095</v>
      </c>
      <c r="P101" s="10">
        <v>100</v>
      </c>
      <c r="Q101" s="34"/>
      <c r="R101" s="27"/>
      <c r="S101" s="10"/>
      <c r="T101" s="10"/>
      <c r="U101" s="10"/>
      <c r="V101" s="10"/>
      <c r="W101" s="10"/>
      <c r="X101" s="10"/>
      <c r="Y101" s="10"/>
      <c r="Z101" s="10"/>
      <c r="AA101" s="34"/>
      <c r="AB101" s="27"/>
      <c r="AC101" s="11"/>
      <c r="AD101" s="11"/>
      <c r="AE101" s="11"/>
      <c r="AF101" s="11"/>
    </row>
    <row r="102" spans="2:32" ht="11.25" customHeight="1" x14ac:dyDescent="0.35">
      <c r="B102" s="24"/>
      <c r="C102" s="7">
        <v>2024</v>
      </c>
      <c r="D102" s="10">
        <v>2</v>
      </c>
      <c r="E102" s="10" t="s">
        <v>167</v>
      </c>
      <c r="F102" s="10">
        <v>2024.25</v>
      </c>
      <c r="G102" s="10">
        <v>96.646902792491503</v>
      </c>
      <c r="H102" s="10">
        <v>106.151093423113</v>
      </c>
      <c r="I102" s="10">
        <v>112.250957793569</v>
      </c>
      <c r="J102" s="10">
        <v>104.233415720685</v>
      </c>
      <c r="K102" s="10">
        <v>93.004248282329399</v>
      </c>
      <c r="L102" s="10">
        <v>122.60286829499999</v>
      </c>
      <c r="M102" s="10">
        <v>1000</v>
      </c>
      <c r="N102" s="10">
        <f t="shared" si="3"/>
        <v>97.397051969769009</v>
      </c>
      <c r="O102" s="10">
        <f t="shared" si="4"/>
        <v>106.79493599669198</v>
      </c>
      <c r="P102" s="10">
        <v>100</v>
      </c>
      <c r="Q102" s="34"/>
      <c r="R102" s="27"/>
      <c r="S102" s="10"/>
      <c r="T102" s="10"/>
      <c r="U102" s="10"/>
      <c r="V102" s="10"/>
      <c r="W102" s="10"/>
      <c r="X102" s="10"/>
      <c r="Y102" s="10"/>
      <c r="Z102" s="10"/>
      <c r="AA102" s="34"/>
      <c r="AB102" s="27"/>
      <c r="AC102" s="11"/>
      <c r="AD102" s="11"/>
      <c r="AE102" s="11"/>
      <c r="AF102" s="11"/>
    </row>
    <row r="103" spans="2:32" ht="11.25" customHeight="1" x14ac:dyDescent="0.35">
      <c r="B103" s="24"/>
      <c r="C103" s="7">
        <v>2024</v>
      </c>
      <c r="D103" s="10">
        <v>3</v>
      </c>
      <c r="E103" s="10" t="s">
        <v>168</v>
      </c>
      <c r="F103" s="10">
        <v>2024.5</v>
      </c>
      <c r="G103" s="10">
        <v>97.198131092496396</v>
      </c>
      <c r="H103" s="10">
        <v>106.459598421658</v>
      </c>
      <c r="I103" s="10">
        <v>113.024263179702</v>
      </c>
      <c r="J103" s="10">
        <v>104.280083690238</v>
      </c>
      <c r="K103" s="10">
        <v>92.624934926221698</v>
      </c>
      <c r="L103" s="10">
        <v>123.70457840537701</v>
      </c>
      <c r="M103" s="10">
        <v>1000</v>
      </c>
      <c r="N103" s="10">
        <f t="shared" si="3"/>
        <v>97.512514315783534</v>
      </c>
      <c r="O103" s="10">
        <f t="shared" si="4"/>
        <v>106.816830277243</v>
      </c>
      <c r="P103" s="10">
        <v>100</v>
      </c>
      <c r="Q103" s="34"/>
      <c r="R103" s="27"/>
      <c r="S103" s="10"/>
      <c r="T103" s="10"/>
      <c r="U103" s="10"/>
      <c r="V103" s="10"/>
      <c r="W103" s="10"/>
      <c r="X103" s="10"/>
      <c r="Y103" s="10"/>
      <c r="Z103" s="10"/>
      <c r="AA103" s="34"/>
      <c r="AB103" s="27"/>
      <c r="AC103" s="11"/>
      <c r="AD103" s="11"/>
      <c r="AE103" s="11"/>
      <c r="AF103" s="11"/>
    </row>
    <row r="104" spans="2:32" ht="11.25" customHeight="1" x14ac:dyDescent="0.35">
      <c r="B104" s="24"/>
      <c r="C104" s="7">
        <v>2024</v>
      </c>
      <c r="D104" s="10">
        <v>4</v>
      </c>
      <c r="E104" s="10" t="s">
        <v>169</v>
      </c>
      <c r="F104" s="10">
        <v>2024.75</v>
      </c>
      <c r="G104" s="10">
        <v>96.270125492668498</v>
      </c>
      <c r="H104" s="10">
        <v>106.559941673335</v>
      </c>
      <c r="I104" s="10">
        <v>113.12626353049799</v>
      </c>
      <c r="J104" s="10">
        <v>104.28906519555601</v>
      </c>
      <c r="K104" s="10">
        <v>92.587127406954906</v>
      </c>
      <c r="L104" s="10">
        <v>124.46259507306701</v>
      </c>
      <c r="M104" s="10">
        <v>1000</v>
      </c>
      <c r="N104" s="10">
        <f t="shared" si="3"/>
        <v>97.627976661798058</v>
      </c>
      <c r="O104" s="10">
        <f t="shared" si="4"/>
        <v>106.83872455779402</v>
      </c>
      <c r="P104" s="10">
        <v>100</v>
      </c>
      <c r="Q104" s="34"/>
      <c r="R104" s="27"/>
      <c r="S104" s="10"/>
      <c r="T104" s="10"/>
      <c r="U104" s="10"/>
      <c r="V104" s="10"/>
      <c r="W104" s="10"/>
      <c r="X104" s="10"/>
      <c r="Y104" s="10"/>
      <c r="Z104" s="10"/>
      <c r="AA104" s="34"/>
      <c r="AB104" s="27"/>
      <c r="AC104" s="11"/>
      <c r="AD104" s="11"/>
      <c r="AE104" s="11"/>
      <c r="AF104" s="11"/>
    </row>
    <row r="105" spans="2:32" ht="11.25" customHeight="1" x14ac:dyDescent="0.35">
      <c r="B105" s="24"/>
      <c r="C105" s="7">
        <v>2025</v>
      </c>
      <c r="D105" s="10">
        <v>1</v>
      </c>
      <c r="E105" s="10" t="s">
        <v>185</v>
      </c>
      <c r="F105" s="10">
        <v>2025</v>
      </c>
      <c r="G105" s="10">
        <v>97.502893485526997</v>
      </c>
      <c r="H105" s="10">
        <v>106.581864563435</v>
      </c>
      <c r="I105" s="10">
        <v>113.475988739847</v>
      </c>
      <c r="J105" s="10">
        <v>104.16756420956899</v>
      </c>
      <c r="K105" s="10">
        <v>92.506632474516707</v>
      </c>
      <c r="L105" s="10">
        <v>123.860073049327</v>
      </c>
      <c r="M105" s="10">
        <v>1000</v>
      </c>
      <c r="N105" s="10">
        <f t="shared" si="3"/>
        <v>97.743439007812583</v>
      </c>
      <c r="O105" s="10">
        <f t="shared" si="4"/>
        <v>106.86061883834505</v>
      </c>
      <c r="P105" s="10">
        <v>100</v>
      </c>
      <c r="Q105" s="34"/>
      <c r="R105" s="27"/>
      <c r="S105" s="10"/>
      <c r="T105" s="10"/>
      <c r="U105" s="10"/>
      <c r="V105" s="10"/>
      <c r="W105" s="10"/>
      <c r="X105" s="10"/>
      <c r="Y105" s="10"/>
      <c r="Z105" s="10"/>
      <c r="AA105" s="34"/>
      <c r="AB105" s="27"/>
      <c r="AC105" s="11"/>
      <c r="AD105" s="11"/>
      <c r="AE105" s="11"/>
      <c r="AF105" s="11"/>
    </row>
    <row r="106" spans="2:32" ht="11.25" customHeight="1" x14ac:dyDescent="0.35">
      <c r="B106" s="24"/>
      <c r="C106" s="7">
        <v>2025</v>
      </c>
      <c r="D106" s="10">
        <v>2</v>
      </c>
      <c r="E106" s="10" t="s">
        <v>182</v>
      </c>
      <c r="F106" s="10">
        <v>2025.25</v>
      </c>
      <c r="G106" s="10">
        <v>99.1672240861012</v>
      </c>
      <c r="H106" s="10">
        <v>106.65054301676101</v>
      </c>
      <c r="I106" s="10">
        <v>113.37198457719801</v>
      </c>
      <c r="J106" s="10">
        <v>104.20948975769601</v>
      </c>
      <c r="K106" s="10">
        <v>92.338068442501907</v>
      </c>
      <c r="L106" s="10">
        <v>125.386692892474</v>
      </c>
      <c r="M106" s="10">
        <v>1000</v>
      </c>
      <c r="N106" s="10">
        <f t="shared" si="3"/>
        <v>97.858901353827108</v>
      </c>
      <c r="O106" s="10">
        <f t="shared" si="4"/>
        <v>106.88251311889607</v>
      </c>
      <c r="P106" s="10">
        <v>100</v>
      </c>
      <c r="Q106" s="34"/>
      <c r="R106" s="27"/>
      <c r="S106" s="10"/>
      <c r="T106" s="10"/>
      <c r="U106" s="10"/>
      <c r="V106" s="10"/>
      <c r="W106" s="10"/>
      <c r="X106" s="10"/>
      <c r="Y106" s="10"/>
      <c r="Z106" s="10"/>
      <c r="AA106" s="34"/>
      <c r="AB106" s="27"/>
      <c r="AC106" s="11"/>
      <c r="AD106" s="11"/>
      <c r="AE106" s="11"/>
      <c r="AF106" s="11"/>
    </row>
    <row r="107" spans="2:32" ht="11.25" customHeight="1" x14ac:dyDescent="0.35">
      <c r="B107" s="24"/>
      <c r="C107" s="7">
        <v>2025</v>
      </c>
      <c r="D107" s="10">
        <v>3</v>
      </c>
      <c r="E107" s="10" t="s">
        <v>183</v>
      </c>
      <c r="F107" s="10">
        <v>2025.5</v>
      </c>
      <c r="G107" s="10">
        <v>98.293939705271896</v>
      </c>
      <c r="H107" s="10">
        <v>106.857448860419</v>
      </c>
      <c r="I107" s="10">
        <v>114.06691537768199</v>
      </c>
      <c r="J107" s="10">
        <v>104.565329453111</v>
      </c>
      <c r="K107" s="10">
        <v>91.378972331674703</v>
      </c>
      <c r="L107" s="10">
        <v>126.458138895883</v>
      </c>
      <c r="M107" s="10">
        <v>1000</v>
      </c>
      <c r="N107" s="10">
        <f t="shared" si="3"/>
        <v>97.974363699841632</v>
      </c>
      <c r="O107" s="10">
        <f t="shared" si="4"/>
        <v>106.90440739944709</v>
      </c>
      <c r="P107" s="10">
        <v>100</v>
      </c>
      <c r="Q107" s="34"/>
      <c r="R107" s="27"/>
      <c r="S107" s="10"/>
      <c r="T107" s="10"/>
      <c r="U107" s="10"/>
      <c r="V107" s="10"/>
      <c r="W107" s="10"/>
      <c r="X107" s="10"/>
      <c r="Y107" s="10"/>
      <c r="Z107" s="10"/>
      <c r="AA107" s="34"/>
      <c r="AB107" s="27"/>
      <c r="AC107" s="11"/>
      <c r="AD107" s="11"/>
      <c r="AE107" s="11"/>
      <c r="AF107" s="11"/>
    </row>
    <row r="108" spans="2:32" ht="11.25" customHeight="1" x14ac:dyDescent="0.35">
      <c r="B108" s="24"/>
      <c r="C108" s="7">
        <v>2025</v>
      </c>
      <c r="D108" s="10">
        <v>4</v>
      </c>
      <c r="E108" s="10" t="s">
        <v>184</v>
      </c>
      <c r="F108" s="10">
        <v>2025.75</v>
      </c>
      <c r="G108" s="10">
        <v>98.205288391870795</v>
      </c>
      <c r="H108" s="10">
        <v>106.948195960549</v>
      </c>
      <c r="I108" s="10">
        <v>113.10651917755401</v>
      </c>
      <c r="J108" s="10">
        <v>105.555226934676</v>
      </c>
      <c r="K108" s="10">
        <v>91.775816359894307</v>
      </c>
      <c r="L108" s="10">
        <v>127.241759983401</v>
      </c>
      <c r="M108" s="10">
        <v>1000</v>
      </c>
      <c r="N108" s="53">
        <f>G108</f>
        <v>98.205288391870795</v>
      </c>
      <c r="O108" s="53">
        <f>H108</f>
        <v>106.948195960549</v>
      </c>
      <c r="P108" s="10">
        <v>100</v>
      </c>
      <c r="Q108" s="34"/>
      <c r="R108" s="27"/>
      <c r="S108" s="10"/>
      <c r="T108" s="10"/>
      <c r="U108" s="10"/>
      <c r="V108" s="10"/>
      <c r="W108" s="10"/>
      <c r="X108" s="10"/>
      <c r="Y108" s="10"/>
      <c r="Z108" s="10"/>
      <c r="AA108" s="34"/>
      <c r="AB108" s="27"/>
      <c r="AC108" s="11"/>
      <c r="AD108" s="11"/>
      <c r="AE108" s="11"/>
      <c r="AF108" s="11"/>
    </row>
    <row r="109" spans="2:32" ht="11.25" customHeight="1" x14ac:dyDescent="0.35">
      <c r="B109" s="2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34"/>
      <c r="R109" s="27"/>
      <c r="S109" s="10"/>
      <c r="T109" s="10"/>
      <c r="U109" s="10"/>
      <c r="V109" s="10"/>
      <c r="W109" s="10"/>
      <c r="X109" s="10"/>
      <c r="Y109" s="10"/>
      <c r="Z109" s="10"/>
      <c r="AA109" s="34"/>
      <c r="AB109" s="27"/>
      <c r="AC109" s="11"/>
      <c r="AD109" s="11"/>
      <c r="AE109" s="11"/>
      <c r="AF109" s="11"/>
    </row>
    <row r="110" spans="2:32" ht="11.25" customHeight="1" x14ac:dyDescent="0.35">
      <c r="B110" s="24"/>
      <c r="C110" s="7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34"/>
      <c r="R110" s="27"/>
      <c r="S110" s="10"/>
      <c r="T110" s="10"/>
      <c r="U110" s="10"/>
      <c r="V110" s="10"/>
      <c r="W110" s="10"/>
      <c r="X110" s="10"/>
      <c r="Y110" s="10"/>
      <c r="Z110" s="10"/>
      <c r="AA110" s="34"/>
      <c r="AB110" s="27"/>
      <c r="AC110" s="11"/>
      <c r="AD110" s="11"/>
      <c r="AE110" s="11"/>
      <c r="AF110" s="11"/>
    </row>
    <row r="111" spans="2:32" ht="11.25" customHeight="1" x14ac:dyDescent="0.35">
      <c r="B111" s="24"/>
      <c r="C111" s="7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34"/>
      <c r="R111" s="27"/>
      <c r="S111" s="10"/>
      <c r="T111" s="10"/>
      <c r="U111" s="10"/>
      <c r="V111" s="10"/>
      <c r="W111" s="10"/>
      <c r="X111" s="10"/>
      <c r="Y111" s="10"/>
      <c r="Z111" s="10"/>
      <c r="AA111" s="34"/>
      <c r="AB111" s="27"/>
      <c r="AC111" s="11"/>
      <c r="AD111" s="11"/>
      <c r="AE111" s="11"/>
      <c r="AF111" s="11"/>
    </row>
    <row r="112" spans="2:32" ht="11.25" customHeight="1" x14ac:dyDescent="0.35">
      <c r="B112" s="24"/>
      <c r="C112" s="7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34"/>
      <c r="R112" s="27"/>
      <c r="S112" s="10"/>
      <c r="T112" s="10"/>
      <c r="U112" s="10"/>
      <c r="V112" s="10"/>
      <c r="W112" s="10"/>
      <c r="X112" s="10"/>
      <c r="Y112" s="10"/>
      <c r="Z112" s="10"/>
      <c r="AA112" s="34"/>
      <c r="AB112" s="27"/>
      <c r="AC112" s="11"/>
      <c r="AD112" s="11"/>
      <c r="AE112" s="11"/>
      <c r="AF112" s="11"/>
    </row>
    <row r="113" spans="2:32" ht="11.25" customHeight="1" x14ac:dyDescent="0.35">
      <c r="B113" s="24"/>
      <c r="C113" s="7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34"/>
      <c r="R113" s="27"/>
      <c r="S113" s="10"/>
      <c r="T113" s="10"/>
      <c r="U113" s="10"/>
      <c r="V113" s="10"/>
      <c r="W113" s="10"/>
      <c r="X113" s="10"/>
      <c r="Y113" s="10"/>
      <c r="Z113" s="10"/>
      <c r="AA113" s="34"/>
      <c r="AB113" s="27"/>
      <c r="AC113" s="11"/>
      <c r="AD113" s="11"/>
      <c r="AE113" s="11"/>
      <c r="AF113" s="11"/>
    </row>
    <row r="114" spans="2:32" ht="11.25" customHeight="1" x14ac:dyDescent="0.35">
      <c r="B114" s="24"/>
      <c r="C114" s="7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34"/>
      <c r="R114" s="27"/>
      <c r="S114" s="10"/>
      <c r="T114" s="10"/>
      <c r="U114" s="10"/>
      <c r="V114" s="10"/>
      <c r="W114" s="10"/>
      <c r="X114" s="10"/>
      <c r="Y114" s="10"/>
      <c r="Z114" s="10"/>
      <c r="AA114" s="34"/>
      <c r="AB114" s="27"/>
      <c r="AC114" s="11"/>
      <c r="AD114" s="11"/>
      <c r="AE114" s="11"/>
      <c r="AF114" s="11"/>
    </row>
    <row r="115" spans="2:32" ht="11.25" customHeight="1" x14ac:dyDescent="0.35">
      <c r="B115" s="24"/>
      <c r="C115" s="7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34"/>
      <c r="R115" s="27"/>
      <c r="S115" s="10"/>
      <c r="T115" s="10"/>
      <c r="U115" s="10"/>
      <c r="V115" s="10"/>
      <c r="W115" s="10"/>
      <c r="X115" s="10"/>
      <c r="Y115" s="10"/>
      <c r="Z115" s="10"/>
      <c r="AA115" s="34"/>
      <c r="AB115" s="27"/>
      <c r="AC115" s="11"/>
      <c r="AD115" s="11"/>
      <c r="AE115" s="11"/>
      <c r="AF115" s="11"/>
    </row>
    <row r="116" spans="2:32" ht="11.25" customHeight="1" x14ac:dyDescent="0.35">
      <c r="B116" s="24"/>
      <c r="C116" s="7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34"/>
      <c r="R116" s="27"/>
      <c r="S116" s="10"/>
      <c r="T116" s="10"/>
      <c r="U116" s="10"/>
      <c r="V116" s="10"/>
      <c r="W116" s="10"/>
      <c r="X116" s="10"/>
      <c r="Y116" s="10"/>
      <c r="Z116" s="10"/>
      <c r="AA116" s="34"/>
      <c r="AB116" s="27"/>
      <c r="AC116" s="11"/>
      <c r="AD116" s="11"/>
      <c r="AE116" s="11"/>
      <c r="AF116" s="11"/>
    </row>
    <row r="117" spans="2:32" ht="11.25" customHeight="1" x14ac:dyDescent="0.35">
      <c r="B117" s="24"/>
      <c r="C117" s="7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34"/>
      <c r="R117" s="27"/>
      <c r="S117" s="10"/>
      <c r="T117" s="10"/>
      <c r="U117" s="10"/>
      <c r="V117" s="10"/>
      <c r="W117" s="10"/>
      <c r="X117" s="10"/>
      <c r="Y117" s="10"/>
      <c r="Z117" s="10"/>
      <c r="AA117" s="34"/>
      <c r="AB117" s="27"/>
      <c r="AC117" s="11"/>
      <c r="AD117" s="11"/>
      <c r="AE117" s="11"/>
      <c r="AF117" s="11"/>
    </row>
    <row r="118" spans="2:32" ht="11.25" customHeight="1" x14ac:dyDescent="0.35">
      <c r="B118" s="24"/>
      <c r="C118" s="7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34"/>
      <c r="R118" s="27"/>
      <c r="S118" s="10"/>
      <c r="T118" s="10"/>
      <c r="U118" s="10"/>
      <c r="V118" s="10"/>
      <c r="W118" s="10"/>
      <c r="X118" s="10"/>
      <c r="Y118" s="10"/>
      <c r="Z118" s="10"/>
      <c r="AA118" s="34"/>
      <c r="AB118" s="27"/>
      <c r="AC118" s="11"/>
      <c r="AD118" s="11"/>
      <c r="AE118" s="11"/>
      <c r="AF118" s="11"/>
    </row>
    <row r="119" spans="2:32" ht="11.25" customHeight="1" x14ac:dyDescent="0.35">
      <c r="B119" s="24"/>
      <c r="C119" s="7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34"/>
      <c r="R119" s="27"/>
      <c r="S119" s="10"/>
      <c r="T119" s="10"/>
      <c r="U119" s="10"/>
      <c r="V119" s="10"/>
      <c r="W119" s="10"/>
      <c r="X119" s="10"/>
      <c r="Y119" s="10"/>
      <c r="Z119" s="10"/>
      <c r="AA119" s="34"/>
      <c r="AB119" s="27"/>
      <c r="AC119" s="11"/>
      <c r="AD119" s="11"/>
      <c r="AE119" s="11"/>
      <c r="AF119" s="11"/>
    </row>
    <row r="120" spans="2:32" ht="11.25" customHeight="1" x14ac:dyDescent="0.35">
      <c r="B120" s="24"/>
      <c r="C120" s="7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34"/>
      <c r="R120" s="27"/>
      <c r="S120" s="10"/>
      <c r="T120" s="10"/>
      <c r="U120" s="10"/>
      <c r="V120" s="10"/>
      <c r="W120" s="10"/>
      <c r="X120" s="10"/>
      <c r="Y120" s="10"/>
      <c r="Z120" s="10"/>
      <c r="AA120" s="34"/>
      <c r="AB120" s="27"/>
      <c r="AC120" s="11"/>
      <c r="AD120" s="11"/>
      <c r="AE120" s="11"/>
      <c r="AF120" s="11"/>
    </row>
    <row r="121" spans="2:32" ht="11.25" customHeight="1" x14ac:dyDescent="0.35">
      <c r="B121" s="24"/>
      <c r="C121" s="7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34"/>
      <c r="R121" s="27"/>
      <c r="S121" s="10"/>
      <c r="T121" s="10"/>
      <c r="U121" s="10"/>
      <c r="V121" s="10"/>
      <c r="W121" s="10"/>
      <c r="X121" s="10"/>
      <c r="Y121" s="10"/>
      <c r="Z121" s="10"/>
      <c r="AA121" s="34"/>
      <c r="AB121" s="27"/>
      <c r="AC121" s="11"/>
      <c r="AD121" s="11"/>
      <c r="AE121" s="11"/>
      <c r="AF121" s="11"/>
    </row>
    <row r="122" spans="2:32" ht="11.25" customHeight="1" x14ac:dyDescent="0.35">
      <c r="B122" s="24"/>
      <c r="C122" s="7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34"/>
      <c r="R122" s="27"/>
      <c r="S122" s="10"/>
      <c r="T122" s="10"/>
      <c r="U122" s="10"/>
      <c r="V122" s="10"/>
      <c r="W122" s="10"/>
      <c r="X122" s="10"/>
      <c r="Y122" s="10"/>
      <c r="Z122" s="10"/>
      <c r="AA122" s="34"/>
      <c r="AB122" s="27"/>
      <c r="AC122" s="11"/>
      <c r="AD122" s="11"/>
      <c r="AE122" s="11"/>
      <c r="AF122" s="11"/>
    </row>
    <row r="123" spans="2:32" ht="11.25" customHeight="1" x14ac:dyDescent="0.35">
      <c r="B123" s="24"/>
      <c r="C123" s="7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34"/>
      <c r="R123" s="27"/>
      <c r="S123" s="10"/>
      <c r="T123" s="10"/>
      <c r="U123" s="10"/>
      <c r="V123" s="10"/>
      <c r="W123" s="10"/>
      <c r="X123" s="10"/>
      <c r="Y123" s="10"/>
      <c r="Z123" s="10"/>
      <c r="AA123" s="34"/>
      <c r="AB123" s="27"/>
      <c r="AC123" s="11"/>
      <c r="AD123" s="11"/>
      <c r="AE123" s="11"/>
      <c r="AF123" s="11"/>
    </row>
    <row r="124" spans="2:32" ht="11.25" customHeight="1" x14ac:dyDescent="0.35">
      <c r="B124" s="24"/>
      <c r="C124" s="7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34"/>
      <c r="R124" s="27"/>
      <c r="S124" s="10"/>
      <c r="T124" s="10"/>
      <c r="U124" s="10"/>
      <c r="V124" s="10"/>
      <c r="W124" s="10"/>
      <c r="X124" s="10"/>
      <c r="Y124" s="10"/>
      <c r="Z124" s="10"/>
      <c r="AA124" s="34"/>
      <c r="AB124" s="27"/>
      <c r="AC124" s="11"/>
      <c r="AD124" s="11"/>
      <c r="AE124" s="11"/>
      <c r="AF124" s="11"/>
    </row>
    <row r="125" spans="2:32" ht="11.25" customHeight="1" x14ac:dyDescent="0.35">
      <c r="B125" s="24"/>
      <c r="C125" s="7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34"/>
      <c r="R125" s="27"/>
      <c r="S125" s="10"/>
      <c r="T125" s="10"/>
      <c r="U125" s="10"/>
      <c r="V125" s="10"/>
      <c r="W125" s="10"/>
      <c r="X125" s="10"/>
      <c r="Y125" s="10"/>
      <c r="Z125" s="10"/>
      <c r="AA125" s="34"/>
      <c r="AB125" s="27"/>
      <c r="AC125" s="11"/>
      <c r="AD125" s="11"/>
      <c r="AE125" s="11"/>
      <c r="AF125" s="11"/>
    </row>
    <row r="126" spans="2:32" ht="11.25" customHeight="1" x14ac:dyDescent="0.35">
      <c r="B126" s="24"/>
      <c r="C126" s="7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34"/>
      <c r="R126" s="27"/>
      <c r="S126" s="10"/>
      <c r="T126" s="10"/>
      <c r="U126" s="10"/>
      <c r="V126" s="10"/>
      <c r="W126" s="10"/>
      <c r="X126" s="10"/>
      <c r="Y126" s="10"/>
      <c r="Z126" s="10"/>
      <c r="AA126" s="34"/>
      <c r="AB126" s="27"/>
      <c r="AC126" s="11"/>
      <c r="AD126" s="11"/>
      <c r="AE126" s="11"/>
      <c r="AF126" s="11"/>
    </row>
    <row r="127" spans="2:32" ht="11.25" customHeight="1" x14ac:dyDescent="0.35">
      <c r="B127" s="24"/>
      <c r="C127" s="7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34"/>
      <c r="R127" s="27"/>
      <c r="S127" s="10"/>
      <c r="T127" s="10"/>
      <c r="U127" s="10"/>
      <c r="V127" s="10"/>
      <c r="W127" s="10"/>
      <c r="X127" s="10"/>
      <c r="Y127" s="10"/>
      <c r="Z127" s="10"/>
      <c r="AA127" s="34"/>
      <c r="AB127" s="27"/>
      <c r="AC127" s="11"/>
      <c r="AD127" s="11"/>
      <c r="AE127" s="11"/>
      <c r="AF127" s="11"/>
    </row>
    <row r="128" spans="2:32" ht="11.25" customHeight="1" x14ac:dyDescent="0.35">
      <c r="B128" s="24"/>
      <c r="C128" s="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34"/>
      <c r="R128" s="27"/>
      <c r="S128" s="10"/>
      <c r="T128" s="10"/>
      <c r="U128" s="10"/>
      <c r="V128" s="10"/>
      <c r="W128" s="10"/>
      <c r="X128" s="10"/>
      <c r="Y128" s="10"/>
      <c r="Z128" s="10"/>
      <c r="AA128" s="34"/>
      <c r="AB128" s="27"/>
      <c r="AC128" s="11"/>
      <c r="AD128" s="11"/>
      <c r="AE128" s="11"/>
      <c r="AF128" s="11"/>
    </row>
    <row r="129" spans="2:32" ht="11.25" customHeight="1" x14ac:dyDescent="0.35">
      <c r="B129" s="24"/>
      <c r="C129" s="7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34"/>
      <c r="R129" s="27"/>
      <c r="S129" s="10"/>
      <c r="T129" s="10"/>
      <c r="U129" s="10"/>
      <c r="V129" s="10"/>
      <c r="W129" s="10"/>
      <c r="X129" s="10"/>
      <c r="Y129" s="10"/>
      <c r="Z129" s="10"/>
      <c r="AA129" s="34"/>
      <c r="AB129" s="27"/>
      <c r="AC129" s="11"/>
      <c r="AD129" s="11"/>
      <c r="AE129" s="11"/>
      <c r="AF129" s="11"/>
    </row>
    <row r="130" spans="2:32" ht="11.25" customHeight="1" x14ac:dyDescent="0.35">
      <c r="B130" s="24"/>
      <c r="C130" s="7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34"/>
      <c r="R130" s="27"/>
      <c r="S130" s="10"/>
      <c r="T130" s="10"/>
      <c r="U130" s="10"/>
      <c r="V130" s="10"/>
      <c r="W130" s="10"/>
      <c r="X130" s="10"/>
      <c r="Y130" s="10"/>
      <c r="Z130" s="10"/>
      <c r="AA130" s="34"/>
      <c r="AB130" s="27"/>
      <c r="AC130" s="11"/>
      <c r="AD130" s="11"/>
      <c r="AE130" s="11"/>
      <c r="AF130" s="11"/>
    </row>
    <row r="131" spans="2:32" ht="11.25" customHeight="1" x14ac:dyDescent="0.35">
      <c r="B131" s="24"/>
      <c r="C131" s="7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34"/>
      <c r="R131" s="27"/>
      <c r="S131" s="10"/>
      <c r="T131" s="10"/>
      <c r="U131" s="10"/>
      <c r="V131" s="10"/>
      <c r="W131" s="10"/>
      <c r="X131" s="10"/>
      <c r="Y131" s="10"/>
      <c r="Z131" s="10"/>
      <c r="AA131" s="34"/>
      <c r="AB131" s="27"/>
      <c r="AC131" s="11"/>
      <c r="AD131" s="11"/>
      <c r="AE131" s="11"/>
      <c r="AF131" s="11"/>
    </row>
    <row r="132" spans="2:32" ht="11.25" customHeight="1" x14ac:dyDescent="0.35">
      <c r="B132" s="24"/>
      <c r="C132" s="7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34"/>
      <c r="R132" s="27"/>
      <c r="S132" s="10"/>
      <c r="T132" s="10"/>
      <c r="U132" s="10"/>
      <c r="V132" s="10"/>
      <c r="W132" s="10"/>
      <c r="X132" s="10"/>
      <c r="Y132" s="10"/>
      <c r="Z132" s="10"/>
      <c r="AA132" s="34"/>
      <c r="AB132" s="27"/>
      <c r="AC132" s="11"/>
      <c r="AD132" s="11"/>
      <c r="AE132" s="11"/>
      <c r="AF132" s="11"/>
    </row>
    <row r="133" spans="2:32" ht="11.25" customHeight="1" x14ac:dyDescent="0.35">
      <c r="B133" s="24"/>
      <c r="C133" s="7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34"/>
      <c r="R133" s="27"/>
      <c r="S133" s="10"/>
      <c r="T133" s="10"/>
      <c r="U133" s="10"/>
      <c r="V133" s="10"/>
      <c r="W133" s="10"/>
      <c r="X133" s="10"/>
      <c r="Y133" s="10"/>
      <c r="Z133" s="10"/>
      <c r="AA133" s="34"/>
      <c r="AB133" s="27"/>
      <c r="AC133" s="11"/>
      <c r="AD133" s="11"/>
      <c r="AE133" s="11"/>
      <c r="AF133" s="11"/>
    </row>
    <row r="134" spans="2:32" ht="11.25" customHeight="1" x14ac:dyDescent="0.35">
      <c r="B134" s="24"/>
      <c r="C134" s="7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34"/>
      <c r="R134" s="27"/>
      <c r="S134" s="10"/>
      <c r="T134" s="10"/>
      <c r="U134" s="10"/>
      <c r="V134" s="10"/>
      <c r="W134" s="10"/>
      <c r="X134" s="10"/>
      <c r="Y134" s="10"/>
      <c r="Z134" s="10"/>
      <c r="AA134" s="34"/>
      <c r="AB134" s="27"/>
      <c r="AC134" s="11"/>
      <c r="AD134" s="11"/>
      <c r="AE134" s="11"/>
      <c r="AF134" s="11"/>
    </row>
    <row r="135" spans="2:32" ht="11.25" customHeight="1" x14ac:dyDescent="0.35">
      <c r="B135" s="24"/>
      <c r="C135" s="7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34"/>
      <c r="R135" s="27"/>
      <c r="S135" s="10"/>
      <c r="T135" s="10"/>
      <c r="U135" s="10"/>
      <c r="V135" s="10"/>
      <c r="W135" s="10"/>
      <c r="X135" s="10"/>
      <c r="Y135" s="10"/>
      <c r="Z135" s="10"/>
      <c r="AA135" s="34"/>
      <c r="AB135" s="27"/>
      <c r="AC135" s="11"/>
      <c r="AD135" s="11"/>
      <c r="AE135" s="11"/>
      <c r="AF135" s="11"/>
    </row>
    <row r="136" spans="2:32" ht="11.25" customHeight="1" x14ac:dyDescent="0.35">
      <c r="B136" s="24"/>
      <c r="C136" s="7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34"/>
      <c r="R136" s="27"/>
      <c r="S136" s="10"/>
      <c r="T136" s="10"/>
      <c r="U136" s="10"/>
      <c r="V136" s="10"/>
      <c r="W136" s="10"/>
      <c r="X136" s="10"/>
      <c r="Y136" s="10"/>
      <c r="Z136" s="10"/>
      <c r="AA136" s="34"/>
      <c r="AB136" s="27"/>
      <c r="AC136" s="11"/>
      <c r="AD136" s="11"/>
      <c r="AE136" s="11"/>
      <c r="AF136" s="11"/>
    </row>
    <row r="137" spans="2:32" ht="11.25" customHeight="1" x14ac:dyDescent="0.35">
      <c r="B137" s="24"/>
      <c r="C137" s="7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34"/>
      <c r="R137" s="27"/>
      <c r="S137" s="10"/>
      <c r="T137" s="10"/>
      <c r="U137" s="10"/>
      <c r="V137" s="10"/>
      <c r="W137" s="10"/>
      <c r="X137" s="10"/>
      <c r="Y137" s="10"/>
      <c r="Z137" s="10"/>
      <c r="AA137" s="34"/>
      <c r="AB137" s="27"/>
      <c r="AC137" s="11"/>
      <c r="AD137" s="11"/>
      <c r="AE137" s="11"/>
      <c r="AF137" s="11"/>
    </row>
    <row r="138" spans="2:32" ht="11.25" customHeight="1" x14ac:dyDescent="0.35">
      <c r="B138" s="24"/>
      <c r="C138" s="7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34"/>
      <c r="R138" s="27"/>
      <c r="S138" s="10"/>
      <c r="T138" s="10"/>
      <c r="U138" s="10"/>
      <c r="V138" s="10"/>
      <c r="W138" s="10"/>
      <c r="X138" s="10"/>
      <c r="Y138" s="10"/>
      <c r="Z138" s="10"/>
      <c r="AA138" s="34"/>
      <c r="AB138" s="27"/>
      <c r="AC138" s="11"/>
      <c r="AD138" s="11"/>
      <c r="AE138" s="11"/>
      <c r="AF138" s="11"/>
    </row>
    <row r="139" spans="2:32" ht="11.25" customHeight="1" x14ac:dyDescent="0.35">
      <c r="B139" s="24"/>
      <c r="C139" s="7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34"/>
      <c r="R139" s="27"/>
      <c r="S139" s="10"/>
      <c r="T139" s="10"/>
      <c r="U139" s="10"/>
      <c r="V139" s="10"/>
      <c r="W139" s="10"/>
      <c r="X139" s="10"/>
      <c r="Y139" s="10"/>
      <c r="Z139" s="10"/>
      <c r="AA139" s="34"/>
      <c r="AB139" s="27"/>
      <c r="AC139" s="11"/>
      <c r="AD139" s="11"/>
      <c r="AE139" s="11"/>
      <c r="AF139" s="11"/>
    </row>
    <row r="140" spans="2:32" ht="11.25" customHeight="1" x14ac:dyDescent="0.35">
      <c r="B140" s="24"/>
      <c r="C140" s="7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34"/>
      <c r="R140" s="27"/>
      <c r="S140" s="10"/>
      <c r="T140" s="10"/>
      <c r="U140" s="10"/>
      <c r="V140" s="10"/>
      <c r="W140" s="10"/>
      <c r="X140" s="10"/>
      <c r="Y140" s="10"/>
      <c r="Z140" s="10"/>
      <c r="AA140" s="34"/>
      <c r="AB140" s="27"/>
      <c r="AC140" s="11"/>
      <c r="AD140" s="11"/>
      <c r="AE140" s="11"/>
      <c r="AF140" s="11"/>
    </row>
    <row r="141" spans="2:32" ht="11.25" customHeight="1" x14ac:dyDescent="0.35">
      <c r="B141" s="24"/>
      <c r="C141" s="7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34"/>
      <c r="R141" s="27"/>
      <c r="S141" s="10"/>
      <c r="T141" s="10"/>
      <c r="U141" s="10"/>
      <c r="V141" s="10"/>
      <c r="W141" s="10"/>
      <c r="X141" s="10"/>
      <c r="Y141" s="10"/>
      <c r="Z141" s="10"/>
      <c r="AA141" s="34"/>
      <c r="AB141" s="27"/>
      <c r="AC141" s="11"/>
      <c r="AD141" s="11"/>
      <c r="AE141" s="11"/>
      <c r="AF141" s="11"/>
    </row>
    <row r="142" spans="2:32" ht="11.25" customHeight="1" x14ac:dyDescent="0.35">
      <c r="B142" s="24"/>
      <c r="C142" s="7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34"/>
      <c r="R142" s="27"/>
      <c r="S142" s="10"/>
      <c r="T142" s="10"/>
      <c r="U142" s="10"/>
      <c r="V142" s="10"/>
      <c r="W142" s="10"/>
      <c r="X142" s="10"/>
      <c r="Y142" s="10"/>
      <c r="Z142" s="10"/>
      <c r="AA142" s="34"/>
      <c r="AB142" s="27"/>
      <c r="AC142" s="11"/>
      <c r="AD142" s="11"/>
      <c r="AE142" s="11"/>
      <c r="AF142" s="11"/>
    </row>
    <row r="143" spans="2:32" ht="11.25" customHeight="1" x14ac:dyDescent="0.35">
      <c r="B143" s="24"/>
      <c r="C143" s="7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34"/>
      <c r="R143" s="27"/>
      <c r="S143" s="10"/>
      <c r="T143" s="10"/>
      <c r="U143" s="10"/>
      <c r="V143" s="10"/>
      <c r="W143" s="10"/>
      <c r="X143" s="10"/>
      <c r="Y143" s="10"/>
      <c r="Z143" s="10"/>
      <c r="AA143" s="34"/>
      <c r="AB143" s="27"/>
      <c r="AC143" s="11"/>
      <c r="AD143" s="11"/>
      <c r="AE143" s="11"/>
      <c r="AF143" s="11"/>
    </row>
    <row r="144" spans="2:32" ht="11.25" customHeight="1" x14ac:dyDescent="0.35">
      <c r="B144" s="24"/>
      <c r="C144" s="7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34"/>
      <c r="R144" s="27"/>
      <c r="S144" s="10"/>
      <c r="T144" s="10"/>
      <c r="U144" s="10"/>
      <c r="V144" s="10"/>
      <c r="W144" s="10"/>
      <c r="X144" s="10"/>
      <c r="Y144" s="10"/>
      <c r="Z144" s="10"/>
      <c r="AA144" s="34"/>
      <c r="AB144" s="27"/>
      <c r="AC144" s="11"/>
      <c r="AD144" s="11"/>
      <c r="AE144" s="11"/>
      <c r="AF144" s="11"/>
    </row>
    <row r="145" spans="2:32" ht="11.25" customHeight="1" x14ac:dyDescent="0.35">
      <c r="B145" s="24"/>
      <c r="C145" s="7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34"/>
      <c r="R145" s="27"/>
      <c r="S145" s="10"/>
      <c r="T145" s="10"/>
      <c r="U145" s="10"/>
      <c r="V145" s="10"/>
      <c r="W145" s="10"/>
      <c r="X145" s="10"/>
      <c r="Y145" s="10"/>
      <c r="Z145" s="10"/>
      <c r="AA145" s="34"/>
      <c r="AB145" s="27"/>
      <c r="AC145" s="11"/>
      <c r="AD145" s="11"/>
      <c r="AE145" s="11"/>
      <c r="AF145" s="11"/>
    </row>
    <row r="146" spans="2:32" ht="11.25" customHeight="1" x14ac:dyDescent="0.35">
      <c r="B146" s="24"/>
      <c r="C146" s="7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34"/>
      <c r="R146" s="27"/>
      <c r="S146" s="10"/>
      <c r="T146" s="10"/>
      <c r="U146" s="10"/>
      <c r="V146" s="10"/>
      <c r="W146" s="10"/>
      <c r="X146" s="10"/>
      <c r="Y146" s="10"/>
      <c r="Z146" s="10"/>
      <c r="AA146" s="34"/>
      <c r="AB146" s="27"/>
      <c r="AC146" s="11"/>
      <c r="AD146" s="11"/>
      <c r="AE146" s="11"/>
      <c r="AF146" s="11"/>
    </row>
    <row r="147" spans="2:32" ht="11.25" customHeight="1" x14ac:dyDescent="0.35">
      <c r="B147" s="24"/>
      <c r="C147" s="7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34"/>
      <c r="R147" s="27"/>
      <c r="S147" s="10"/>
      <c r="T147" s="10"/>
      <c r="U147" s="10"/>
      <c r="V147" s="10"/>
      <c r="W147" s="10"/>
      <c r="X147" s="10"/>
      <c r="Y147" s="10"/>
      <c r="Z147" s="10"/>
      <c r="AA147" s="34"/>
      <c r="AB147" s="27"/>
      <c r="AC147" s="11"/>
      <c r="AD147" s="11"/>
      <c r="AE147" s="11"/>
      <c r="AF147" s="11"/>
    </row>
    <row r="148" spans="2:32" ht="11.25" customHeight="1" x14ac:dyDescent="0.35">
      <c r="B148" s="24"/>
      <c r="C148" s="7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34"/>
      <c r="R148" s="27"/>
      <c r="S148" s="10"/>
      <c r="T148" s="10"/>
      <c r="U148" s="10"/>
      <c r="V148" s="10"/>
      <c r="W148" s="10"/>
      <c r="X148" s="10"/>
      <c r="Y148" s="10"/>
      <c r="Z148" s="10"/>
      <c r="AA148" s="34"/>
      <c r="AB148" s="27"/>
      <c r="AC148" s="11"/>
      <c r="AD148" s="11"/>
      <c r="AE148" s="11"/>
      <c r="AF148" s="11"/>
    </row>
    <row r="149" spans="2:32" ht="11.25" customHeight="1" x14ac:dyDescent="0.35">
      <c r="B149" s="24"/>
      <c r="C149" s="7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34"/>
      <c r="R149" s="27"/>
      <c r="S149" s="10"/>
      <c r="T149" s="10"/>
      <c r="U149" s="10"/>
      <c r="V149" s="10"/>
      <c r="W149" s="10"/>
      <c r="X149" s="10"/>
      <c r="Y149" s="10"/>
      <c r="Z149" s="10"/>
      <c r="AA149" s="34"/>
      <c r="AB149" s="27"/>
      <c r="AC149" s="11"/>
      <c r="AD149" s="11"/>
      <c r="AE149" s="11"/>
      <c r="AF149" s="11"/>
    </row>
    <row r="150" spans="2:32" ht="11.25" customHeight="1" x14ac:dyDescent="0.35">
      <c r="B150" s="24"/>
      <c r="C150" s="7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34"/>
      <c r="R150" s="27"/>
      <c r="S150" s="10"/>
      <c r="T150" s="10"/>
      <c r="U150" s="10"/>
      <c r="V150" s="10"/>
      <c r="W150" s="10"/>
      <c r="X150" s="10"/>
      <c r="Y150" s="10"/>
      <c r="Z150" s="10"/>
      <c r="AA150" s="34"/>
      <c r="AB150" s="27"/>
      <c r="AC150" s="11"/>
      <c r="AD150" s="11"/>
      <c r="AE150" s="11"/>
      <c r="AF150" s="11"/>
    </row>
    <row r="151" spans="2:32" ht="11.25" customHeight="1" x14ac:dyDescent="0.35">
      <c r="B151" s="24"/>
      <c r="C151" s="7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34"/>
      <c r="R151" s="27"/>
      <c r="S151" s="10"/>
      <c r="T151" s="10"/>
      <c r="U151" s="10"/>
      <c r="V151" s="10"/>
      <c r="W151" s="10"/>
      <c r="X151" s="10"/>
      <c r="Y151" s="10"/>
      <c r="Z151" s="10"/>
      <c r="AA151" s="34"/>
      <c r="AB151" s="27"/>
      <c r="AC151" s="11"/>
      <c r="AD151" s="11"/>
      <c r="AE151" s="11"/>
      <c r="AF151" s="11"/>
    </row>
    <row r="152" spans="2:32" ht="11.25" customHeight="1" x14ac:dyDescent="0.35">
      <c r="B152" s="24"/>
      <c r="C152" s="7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34"/>
      <c r="R152" s="27"/>
      <c r="S152" s="10"/>
      <c r="T152" s="10"/>
      <c r="U152" s="10"/>
      <c r="V152" s="10"/>
      <c r="W152" s="10"/>
      <c r="X152" s="10"/>
      <c r="Y152" s="10"/>
      <c r="Z152" s="10"/>
      <c r="AA152" s="34"/>
      <c r="AB152" s="27"/>
      <c r="AC152" s="11"/>
      <c r="AD152" s="11"/>
      <c r="AE152" s="11"/>
      <c r="AF152" s="11"/>
    </row>
    <row r="153" spans="2:32" ht="11.25" customHeight="1" x14ac:dyDescent="0.35">
      <c r="B153" s="24"/>
      <c r="C153" s="7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34"/>
      <c r="R153" s="27"/>
      <c r="S153" s="10"/>
      <c r="T153" s="10"/>
      <c r="U153" s="10"/>
      <c r="V153" s="10"/>
      <c r="W153" s="10"/>
      <c r="X153" s="10"/>
      <c r="Y153" s="10"/>
      <c r="Z153" s="10"/>
      <c r="AA153" s="34"/>
      <c r="AB153" s="27"/>
      <c r="AC153" s="11"/>
      <c r="AD153" s="11"/>
      <c r="AE153" s="11"/>
      <c r="AF153" s="11"/>
    </row>
    <row r="154" spans="2:32" ht="11.25" customHeight="1" x14ac:dyDescent="0.35">
      <c r="B154" s="24"/>
      <c r="C154" s="7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34"/>
      <c r="R154" s="27"/>
      <c r="S154" s="10"/>
      <c r="T154" s="10"/>
      <c r="U154" s="10"/>
      <c r="V154" s="10"/>
      <c r="W154" s="10"/>
      <c r="X154" s="10"/>
      <c r="Y154" s="10"/>
      <c r="Z154" s="10"/>
      <c r="AA154" s="34"/>
      <c r="AB154" s="27"/>
      <c r="AC154" s="11"/>
      <c r="AD154" s="11"/>
      <c r="AE154" s="11"/>
      <c r="AF154" s="11"/>
    </row>
    <row r="155" spans="2:32" ht="11.25" customHeight="1" x14ac:dyDescent="0.35">
      <c r="B155" s="24"/>
      <c r="C155" s="7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34"/>
      <c r="R155" s="27"/>
      <c r="S155" s="10"/>
      <c r="T155" s="10"/>
      <c r="U155" s="10"/>
      <c r="V155" s="10"/>
      <c r="W155" s="10"/>
      <c r="X155" s="10"/>
      <c r="Y155" s="10"/>
      <c r="Z155" s="10"/>
      <c r="AA155" s="34"/>
      <c r="AB155" s="27"/>
      <c r="AC155" s="11"/>
      <c r="AD155" s="11"/>
      <c r="AE155" s="11"/>
      <c r="AF155" s="11"/>
    </row>
    <row r="156" spans="2:32" ht="11.25" customHeight="1" x14ac:dyDescent="0.35">
      <c r="B156" s="24"/>
      <c r="C156" s="7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34"/>
      <c r="R156" s="27"/>
      <c r="S156" s="10"/>
      <c r="T156" s="10"/>
      <c r="U156" s="10"/>
      <c r="V156" s="10"/>
      <c r="W156" s="10"/>
      <c r="X156" s="10"/>
      <c r="Y156" s="10"/>
      <c r="Z156" s="10"/>
      <c r="AA156" s="34"/>
      <c r="AB156" s="27"/>
      <c r="AC156" s="11"/>
      <c r="AD156" s="11"/>
      <c r="AE156" s="11"/>
      <c r="AF156" s="11"/>
    </row>
    <row r="157" spans="2:32" ht="11.25" customHeight="1" x14ac:dyDescent="0.35">
      <c r="B157" s="24"/>
      <c r="C157" s="7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34"/>
      <c r="R157" s="27"/>
      <c r="S157" s="10"/>
      <c r="T157" s="10"/>
      <c r="U157" s="10"/>
      <c r="V157" s="10"/>
      <c r="W157" s="10"/>
      <c r="X157" s="10"/>
      <c r="Y157" s="10"/>
      <c r="Z157" s="10"/>
      <c r="AA157" s="34"/>
      <c r="AB157" s="27"/>
      <c r="AC157" s="11"/>
      <c r="AD157" s="11"/>
      <c r="AE157" s="11"/>
      <c r="AF157" s="11"/>
    </row>
    <row r="158" spans="2:32" ht="11.25" customHeight="1" x14ac:dyDescent="0.35">
      <c r="B158" s="24"/>
      <c r="C158" s="7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34"/>
      <c r="R158" s="27"/>
      <c r="S158" s="10"/>
      <c r="T158" s="10"/>
      <c r="U158" s="10"/>
      <c r="V158" s="10"/>
      <c r="W158" s="10"/>
      <c r="X158" s="10"/>
      <c r="Y158" s="10"/>
      <c r="Z158" s="10"/>
      <c r="AA158" s="34"/>
      <c r="AB158" s="27"/>
      <c r="AC158" s="11"/>
      <c r="AD158" s="11"/>
      <c r="AE158" s="11"/>
      <c r="AF158" s="11"/>
    </row>
    <row r="159" spans="2:32" ht="11.25" customHeight="1" x14ac:dyDescent="0.35">
      <c r="B159" s="24"/>
      <c r="C159" s="7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34"/>
      <c r="R159" s="27"/>
      <c r="S159" s="10"/>
      <c r="T159" s="10"/>
      <c r="U159" s="10"/>
      <c r="V159" s="10"/>
      <c r="W159" s="10"/>
      <c r="X159" s="10"/>
      <c r="Y159" s="10"/>
      <c r="Z159" s="10"/>
      <c r="AA159" s="34"/>
      <c r="AB159" s="27"/>
      <c r="AC159" s="11"/>
      <c r="AD159" s="11"/>
      <c r="AE159" s="11"/>
      <c r="AF159" s="11"/>
    </row>
    <row r="160" spans="2:32" ht="11.25" customHeight="1" x14ac:dyDescent="0.35">
      <c r="B160" s="24"/>
      <c r="C160" s="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34"/>
      <c r="R160" s="27"/>
      <c r="S160" s="10"/>
      <c r="T160" s="10"/>
      <c r="U160" s="10"/>
      <c r="V160" s="10"/>
      <c r="W160" s="10"/>
      <c r="X160" s="10"/>
      <c r="Y160" s="10"/>
      <c r="Z160" s="10"/>
      <c r="AA160" s="34"/>
      <c r="AB160" s="27"/>
      <c r="AC160" s="11"/>
      <c r="AD160" s="11"/>
      <c r="AE160" s="11"/>
      <c r="AF160" s="11"/>
    </row>
    <row r="161" spans="2:32" ht="11.25" customHeight="1" x14ac:dyDescent="0.35">
      <c r="B161" s="24"/>
      <c r="C161" s="7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34"/>
      <c r="R161" s="27"/>
      <c r="S161" s="10"/>
      <c r="T161" s="10"/>
      <c r="U161" s="10"/>
      <c r="V161" s="10"/>
      <c r="W161" s="10"/>
      <c r="X161" s="10"/>
      <c r="Y161" s="10"/>
      <c r="Z161" s="10"/>
      <c r="AA161" s="34"/>
      <c r="AB161" s="27"/>
      <c r="AC161" s="11"/>
      <c r="AD161" s="11"/>
      <c r="AE161" s="11"/>
      <c r="AF161" s="11"/>
    </row>
    <row r="162" spans="2:32" ht="11.25" customHeight="1" x14ac:dyDescent="0.35">
      <c r="B162" s="24"/>
      <c r="C162" s="7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34"/>
      <c r="R162" s="27"/>
      <c r="S162" s="10"/>
      <c r="T162" s="10"/>
      <c r="U162" s="10"/>
      <c r="V162" s="10"/>
      <c r="W162" s="10"/>
      <c r="X162" s="10"/>
      <c r="Y162" s="10"/>
      <c r="Z162" s="10"/>
      <c r="AA162" s="34"/>
      <c r="AB162" s="27"/>
      <c r="AC162" s="11"/>
      <c r="AD162" s="11"/>
      <c r="AE162" s="11"/>
      <c r="AF162" s="11"/>
    </row>
    <row r="163" spans="2:32" ht="11.25" customHeight="1" x14ac:dyDescent="0.35">
      <c r="B163" s="24"/>
      <c r="C163" s="7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34"/>
      <c r="R163" s="27"/>
      <c r="S163" s="10"/>
      <c r="T163" s="10"/>
      <c r="U163" s="10"/>
      <c r="V163" s="10"/>
      <c r="W163" s="10"/>
      <c r="X163" s="10"/>
      <c r="Y163" s="10"/>
      <c r="Z163" s="10"/>
      <c r="AA163" s="34"/>
      <c r="AB163" s="27"/>
      <c r="AC163" s="11"/>
      <c r="AD163" s="11"/>
      <c r="AE163" s="11"/>
      <c r="AF163" s="11"/>
    </row>
    <row r="164" spans="2:32" ht="11.25" customHeight="1" x14ac:dyDescent="0.35">
      <c r="B164" s="24"/>
      <c r="C164" s="7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34"/>
      <c r="R164" s="27"/>
      <c r="S164" s="10"/>
      <c r="T164" s="10"/>
      <c r="U164" s="10"/>
      <c r="V164" s="10"/>
      <c r="W164" s="10"/>
      <c r="X164" s="10"/>
      <c r="Y164" s="10"/>
      <c r="Z164" s="10"/>
      <c r="AA164" s="34"/>
      <c r="AB164" s="27"/>
      <c r="AC164" s="11"/>
      <c r="AD164" s="11"/>
      <c r="AE164" s="11"/>
      <c r="AF164" s="11"/>
    </row>
    <row r="165" spans="2:32" ht="11.25" customHeight="1" x14ac:dyDescent="0.35">
      <c r="B165" s="24"/>
      <c r="C165" s="7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34"/>
      <c r="R165" s="27"/>
      <c r="S165" s="10"/>
      <c r="T165" s="10"/>
      <c r="U165" s="10"/>
      <c r="V165" s="10"/>
      <c r="W165" s="10"/>
      <c r="X165" s="10"/>
      <c r="Y165" s="10"/>
      <c r="Z165" s="10"/>
      <c r="AA165" s="34"/>
      <c r="AB165" s="27"/>
      <c r="AC165" s="11"/>
      <c r="AD165" s="11"/>
      <c r="AE165" s="11"/>
      <c r="AF165" s="11"/>
    </row>
    <row r="166" spans="2:32" ht="11.25" customHeight="1" x14ac:dyDescent="0.35">
      <c r="B166" s="24"/>
      <c r="C166" s="7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34"/>
      <c r="R166" s="27"/>
      <c r="S166" s="10"/>
      <c r="T166" s="10"/>
      <c r="U166" s="10"/>
      <c r="V166" s="10"/>
      <c r="W166" s="10"/>
      <c r="X166" s="10"/>
      <c r="Y166" s="10"/>
      <c r="Z166" s="10"/>
      <c r="AA166" s="34"/>
      <c r="AB166" s="27"/>
      <c r="AC166" s="11"/>
      <c r="AD166" s="11"/>
      <c r="AE166" s="11"/>
      <c r="AF166" s="11"/>
    </row>
    <row r="167" spans="2:32" ht="11.25" customHeight="1" x14ac:dyDescent="0.35">
      <c r="B167" s="24"/>
      <c r="C167" s="7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34"/>
      <c r="R167" s="27"/>
      <c r="S167" s="10"/>
      <c r="T167" s="10"/>
      <c r="U167" s="10"/>
      <c r="V167" s="10"/>
      <c r="W167" s="10"/>
      <c r="X167" s="10"/>
      <c r="Y167" s="10"/>
      <c r="Z167" s="10"/>
      <c r="AA167" s="34"/>
      <c r="AB167" s="27"/>
      <c r="AC167" s="11"/>
      <c r="AD167" s="11"/>
      <c r="AE167" s="11"/>
      <c r="AF167" s="11"/>
    </row>
    <row r="168" spans="2:32" ht="11.25" customHeight="1" x14ac:dyDescent="0.35">
      <c r="B168" s="24"/>
      <c r="C168" s="7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34"/>
      <c r="R168" s="27"/>
      <c r="S168" s="10"/>
      <c r="T168" s="10"/>
      <c r="U168" s="10"/>
      <c r="V168" s="10"/>
      <c r="W168" s="10"/>
      <c r="X168" s="10"/>
      <c r="Y168" s="10"/>
      <c r="Z168" s="10"/>
      <c r="AA168" s="34"/>
      <c r="AB168" s="27"/>
      <c r="AC168" s="11"/>
      <c r="AD168" s="11"/>
      <c r="AE168" s="11"/>
      <c r="AF168" s="11"/>
    </row>
    <row r="169" spans="2:32" ht="11.25" customHeight="1" x14ac:dyDescent="0.35">
      <c r="B169" s="24"/>
      <c r="C169" s="7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34"/>
      <c r="R169" s="27"/>
      <c r="S169" s="10"/>
      <c r="T169" s="10"/>
      <c r="U169" s="10"/>
      <c r="V169" s="10"/>
      <c r="W169" s="10"/>
      <c r="X169" s="10"/>
      <c r="Y169" s="10"/>
      <c r="Z169" s="10"/>
      <c r="AA169" s="34"/>
      <c r="AB169" s="27"/>
      <c r="AC169" s="11"/>
      <c r="AD169" s="11"/>
      <c r="AE169" s="11"/>
      <c r="AF169" s="11"/>
    </row>
    <row r="170" spans="2:32" ht="11.25" customHeight="1" x14ac:dyDescent="0.35">
      <c r="B170" s="24"/>
      <c r="C170" s="7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34"/>
      <c r="R170" s="27"/>
      <c r="S170" s="10"/>
      <c r="T170" s="10"/>
      <c r="U170" s="10"/>
      <c r="V170" s="10"/>
      <c r="W170" s="10"/>
      <c r="X170" s="10"/>
      <c r="Y170" s="10"/>
      <c r="Z170" s="10"/>
      <c r="AA170" s="34"/>
      <c r="AB170" s="27"/>
      <c r="AC170" s="11"/>
      <c r="AD170" s="11"/>
      <c r="AE170" s="11"/>
      <c r="AF170" s="11"/>
    </row>
    <row r="171" spans="2:32" ht="11.25" customHeight="1" x14ac:dyDescent="0.35">
      <c r="B171" s="24"/>
      <c r="C171" s="7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34"/>
      <c r="R171" s="27"/>
      <c r="S171" s="10"/>
      <c r="T171" s="10"/>
      <c r="U171" s="10"/>
      <c r="V171" s="10"/>
      <c r="W171" s="10"/>
      <c r="X171" s="10"/>
      <c r="Y171" s="10"/>
      <c r="Z171" s="10"/>
      <c r="AA171" s="34"/>
      <c r="AB171" s="27"/>
      <c r="AC171" s="11"/>
      <c r="AD171" s="11"/>
      <c r="AE171" s="11"/>
      <c r="AF171" s="11"/>
    </row>
    <row r="172" spans="2:32" ht="11.25" customHeight="1" x14ac:dyDescent="0.35">
      <c r="B172" s="24"/>
      <c r="C172" s="7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34"/>
      <c r="R172" s="27"/>
      <c r="S172" s="10"/>
      <c r="T172" s="10"/>
      <c r="U172" s="10"/>
      <c r="V172" s="10"/>
      <c r="W172" s="10"/>
      <c r="X172" s="10"/>
      <c r="Y172" s="10"/>
      <c r="Z172" s="10"/>
      <c r="AA172" s="34"/>
      <c r="AB172" s="27"/>
      <c r="AC172" s="11"/>
      <c r="AD172" s="11"/>
      <c r="AE172" s="11"/>
      <c r="AF172" s="11"/>
    </row>
    <row r="173" spans="2:32" ht="11.25" customHeight="1" x14ac:dyDescent="0.35">
      <c r="B173" s="24"/>
      <c r="C173" s="7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34"/>
      <c r="R173" s="27"/>
      <c r="S173" s="10"/>
      <c r="T173" s="10"/>
      <c r="U173" s="10"/>
      <c r="V173" s="10"/>
      <c r="W173" s="10"/>
      <c r="X173" s="10"/>
      <c r="Y173" s="10"/>
      <c r="Z173" s="10"/>
      <c r="AA173" s="34"/>
      <c r="AB173" s="27"/>
      <c r="AC173" s="11"/>
      <c r="AD173" s="11"/>
      <c r="AE173" s="11"/>
      <c r="AF173" s="11"/>
    </row>
    <row r="174" spans="2:32" ht="11.25" customHeight="1" x14ac:dyDescent="0.35">
      <c r="B174" s="24"/>
      <c r="C174" s="7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34"/>
      <c r="R174" s="27"/>
      <c r="S174" s="10"/>
      <c r="T174" s="10"/>
      <c r="U174" s="10"/>
      <c r="V174" s="10"/>
      <c r="W174" s="10"/>
      <c r="X174" s="10"/>
      <c r="Y174" s="10"/>
      <c r="Z174" s="10"/>
      <c r="AA174" s="34"/>
      <c r="AB174" s="27"/>
      <c r="AC174" s="11"/>
      <c r="AD174" s="11"/>
      <c r="AE174" s="11"/>
      <c r="AF174" s="11"/>
    </row>
    <row r="175" spans="2:32" ht="11.25" customHeight="1" x14ac:dyDescent="0.35">
      <c r="B175" s="24"/>
      <c r="C175" s="7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34"/>
      <c r="R175" s="27"/>
      <c r="S175" s="10"/>
      <c r="T175" s="10"/>
      <c r="U175" s="10"/>
      <c r="V175" s="10"/>
      <c r="W175" s="10"/>
      <c r="X175" s="10"/>
      <c r="Y175" s="10"/>
      <c r="Z175" s="10"/>
      <c r="AA175" s="34"/>
      <c r="AB175" s="27"/>
      <c r="AC175" s="11"/>
      <c r="AD175" s="11"/>
      <c r="AE175" s="11"/>
      <c r="AF175" s="11"/>
    </row>
    <row r="176" spans="2:32" ht="11.25" customHeight="1" x14ac:dyDescent="0.35">
      <c r="B176" s="24"/>
      <c r="C176" s="7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34"/>
      <c r="R176" s="27"/>
      <c r="S176" s="10"/>
      <c r="T176" s="10"/>
      <c r="U176" s="10"/>
      <c r="V176" s="10"/>
      <c r="W176" s="10"/>
      <c r="X176" s="10"/>
      <c r="Y176" s="10"/>
      <c r="Z176" s="10"/>
      <c r="AA176" s="34"/>
      <c r="AB176" s="27"/>
      <c r="AC176" s="11"/>
      <c r="AD176" s="11"/>
      <c r="AE176" s="11"/>
      <c r="AF176" s="11"/>
    </row>
    <row r="177" spans="2:32" ht="11.25" customHeight="1" x14ac:dyDescent="0.35">
      <c r="B177" s="24"/>
      <c r="C177" s="7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34"/>
      <c r="R177" s="27"/>
      <c r="S177" s="10"/>
      <c r="T177" s="10"/>
      <c r="U177" s="10"/>
      <c r="V177" s="10"/>
      <c r="W177" s="10"/>
      <c r="X177" s="10"/>
      <c r="Y177" s="10"/>
      <c r="Z177" s="10"/>
      <c r="AA177" s="34"/>
      <c r="AB177" s="27"/>
      <c r="AC177" s="11"/>
      <c r="AD177" s="11"/>
      <c r="AE177" s="11"/>
      <c r="AF177" s="11"/>
    </row>
    <row r="178" spans="2:32" ht="11.25" customHeight="1" x14ac:dyDescent="0.35">
      <c r="B178" s="24"/>
      <c r="C178" s="7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34"/>
      <c r="R178" s="27"/>
      <c r="S178" s="10"/>
      <c r="T178" s="10"/>
      <c r="U178" s="10"/>
      <c r="V178" s="10"/>
      <c r="W178" s="10"/>
      <c r="X178" s="10"/>
      <c r="Y178" s="10"/>
      <c r="Z178" s="10"/>
      <c r="AA178" s="34"/>
      <c r="AB178" s="27"/>
      <c r="AC178" s="11"/>
      <c r="AD178" s="11"/>
      <c r="AE178" s="11"/>
      <c r="AF178" s="11"/>
    </row>
    <row r="179" spans="2:32" ht="11.25" customHeight="1" x14ac:dyDescent="0.35">
      <c r="B179" s="24"/>
      <c r="C179" s="7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34"/>
      <c r="R179" s="27"/>
      <c r="S179" s="10"/>
      <c r="T179" s="10"/>
      <c r="U179" s="10"/>
      <c r="V179" s="10"/>
      <c r="W179" s="10"/>
      <c r="X179" s="10"/>
      <c r="Y179" s="10"/>
      <c r="Z179" s="10"/>
      <c r="AA179" s="34"/>
      <c r="AB179" s="27"/>
      <c r="AC179" s="11"/>
      <c r="AD179" s="11"/>
      <c r="AE179" s="11"/>
      <c r="AF179" s="11"/>
    </row>
    <row r="180" spans="2:32" ht="11.25" customHeight="1" x14ac:dyDescent="0.35">
      <c r="B180" s="24"/>
      <c r="C180" s="7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34"/>
      <c r="R180" s="27"/>
      <c r="S180" s="10"/>
      <c r="T180" s="10"/>
      <c r="U180" s="10"/>
      <c r="V180" s="10"/>
      <c r="W180" s="10"/>
      <c r="X180" s="10"/>
      <c r="Y180" s="10"/>
      <c r="Z180" s="10"/>
      <c r="AA180" s="34"/>
      <c r="AB180" s="27"/>
      <c r="AC180" s="11"/>
      <c r="AD180" s="11"/>
      <c r="AE180" s="11"/>
      <c r="AF180" s="11"/>
    </row>
    <row r="181" spans="2:32" ht="11.25" customHeight="1" x14ac:dyDescent="0.35">
      <c r="B181" s="24"/>
      <c r="C181" s="7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34"/>
      <c r="R181" s="27"/>
      <c r="S181" s="10"/>
      <c r="T181" s="10"/>
      <c r="U181" s="10"/>
      <c r="V181" s="10"/>
      <c r="W181" s="10"/>
      <c r="X181" s="10"/>
      <c r="Y181" s="10"/>
      <c r="Z181" s="10"/>
      <c r="AA181" s="34"/>
      <c r="AB181" s="27"/>
      <c r="AC181" s="11"/>
      <c r="AD181" s="11"/>
      <c r="AE181" s="11"/>
      <c r="AF181" s="11"/>
    </row>
    <row r="182" spans="2:32" ht="11.25" customHeight="1" x14ac:dyDescent="0.35">
      <c r="B182" s="24"/>
      <c r="C182" s="7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34"/>
      <c r="R182" s="27"/>
      <c r="S182" s="10"/>
      <c r="T182" s="10"/>
      <c r="U182" s="10"/>
      <c r="V182" s="10"/>
      <c r="W182" s="10"/>
      <c r="X182" s="10"/>
      <c r="Y182" s="10"/>
      <c r="Z182" s="10"/>
      <c r="AA182" s="34"/>
      <c r="AB182" s="27"/>
      <c r="AC182" s="11"/>
      <c r="AD182" s="11"/>
      <c r="AE182" s="11"/>
      <c r="AF182" s="11"/>
    </row>
    <row r="183" spans="2:32" ht="11.25" customHeight="1" x14ac:dyDescent="0.35">
      <c r="B183" s="24"/>
      <c r="C183" s="7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34"/>
      <c r="R183" s="27"/>
      <c r="S183" s="10"/>
      <c r="T183" s="10"/>
      <c r="U183" s="10"/>
      <c r="V183" s="10"/>
      <c r="W183" s="10"/>
      <c r="X183" s="10"/>
      <c r="Y183" s="10"/>
      <c r="Z183" s="10"/>
      <c r="AA183" s="34"/>
      <c r="AB183" s="27"/>
      <c r="AC183" s="11"/>
      <c r="AD183" s="11"/>
      <c r="AE183" s="11"/>
      <c r="AF183" s="11"/>
    </row>
    <row r="184" spans="2:32" ht="11.25" customHeight="1" x14ac:dyDescent="0.35">
      <c r="B184" s="24"/>
      <c r="C184" s="7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34"/>
      <c r="R184" s="27"/>
      <c r="S184" s="10"/>
      <c r="T184" s="10"/>
      <c r="U184" s="10"/>
      <c r="V184" s="10"/>
      <c r="W184" s="10"/>
      <c r="X184" s="10"/>
      <c r="Y184" s="10"/>
      <c r="Z184" s="10"/>
      <c r="AA184" s="34"/>
      <c r="AB184" s="27"/>
      <c r="AC184" s="11"/>
      <c r="AD184" s="11"/>
      <c r="AE184" s="11"/>
      <c r="AF184" s="11"/>
    </row>
    <row r="185" spans="2:32" ht="11.25" customHeight="1" x14ac:dyDescent="0.35">
      <c r="B185" s="24"/>
      <c r="C185" s="7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34"/>
      <c r="R185" s="27"/>
      <c r="S185" s="10"/>
      <c r="T185" s="10"/>
      <c r="U185" s="10"/>
      <c r="V185" s="10"/>
      <c r="W185" s="10"/>
      <c r="X185" s="10"/>
      <c r="Y185" s="10"/>
      <c r="Z185" s="10"/>
      <c r="AA185" s="34"/>
      <c r="AB185" s="27"/>
      <c r="AC185" s="11"/>
      <c r="AD185" s="11"/>
      <c r="AE185" s="11"/>
      <c r="AF185" s="11"/>
    </row>
    <row r="186" spans="2:32" ht="11.25" customHeight="1" x14ac:dyDescent="0.35">
      <c r="B186" s="24"/>
      <c r="C186" s="7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34"/>
      <c r="R186" s="27"/>
      <c r="S186" s="10"/>
      <c r="T186" s="10"/>
      <c r="U186" s="10"/>
      <c r="V186" s="10"/>
      <c r="W186" s="10"/>
      <c r="X186" s="10"/>
      <c r="Y186" s="10"/>
      <c r="Z186" s="10"/>
      <c r="AA186" s="34"/>
      <c r="AB186" s="27"/>
      <c r="AC186" s="11"/>
      <c r="AD186" s="11"/>
      <c r="AE186" s="11"/>
      <c r="AF186" s="11"/>
    </row>
    <row r="187" spans="2:32" ht="11.25" customHeight="1" x14ac:dyDescent="0.35">
      <c r="B187" s="24"/>
      <c r="C187" s="7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34"/>
      <c r="R187" s="27"/>
      <c r="S187" s="10"/>
      <c r="T187" s="10"/>
      <c r="U187" s="10"/>
      <c r="V187" s="10"/>
      <c r="W187" s="10"/>
      <c r="X187" s="10"/>
      <c r="Y187" s="10"/>
      <c r="Z187" s="10"/>
      <c r="AA187" s="34"/>
      <c r="AB187" s="27"/>
      <c r="AC187" s="11"/>
      <c r="AD187" s="11"/>
      <c r="AE187" s="11"/>
      <c r="AF187" s="11"/>
    </row>
    <row r="188" spans="2:32" ht="11.25" customHeight="1" x14ac:dyDescent="0.35">
      <c r="B188" s="24"/>
      <c r="C188" s="7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34"/>
      <c r="R188" s="27"/>
      <c r="S188" s="10"/>
      <c r="T188" s="10"/>
      <c r="U188" s="10"/>
      <c r="V188" s="10"/>
      <c r="W188" s="10"/>
      <c r="X188" s="10"/>
      <c r="Y188" s="10"/>
      <c r="Z188" s="10"/>
      <c r="AA188" s="34"/>
      <c r="AB188" s="27"/>
      <c r="AC188" s="11"/>
      <c r="AD188" s="11"/>
      <c r="AE188" s="11"/>
      <c r="AF188" s="11"/>
    </row>
    <row r="189" spans="2:32" ht="11.25" customHeight="1" x14ac:dyDescent="0.35">
      <c r="B189" s="24"/>
      <c r="C189" s="7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34"/>
      <c r="R189" s="27"/>
      <c r="S189" s="10"/>
      <c r="T189" s="10"/>
      <c r="U189" s="10"/>
      <c r="V189" s="10"/>
      <c r="W189" s="10"/>
      <c r="X189" s="10"/>
      <c r="Y189" s="10"/>
      <c r="Z189" s="10"/>
      <c r="AA189" s="34"/>
      <c r="AB189" s="27"/>
      <c r="AC189" s="11"/>
      <c r="AD189" s="11"/>
      <c r="AE189" s="11"/>
      <c r="AF189" s="11"/>
    </row>
    <row r="190" spans="2:32" ht="11.25" customHeight="1" x14ac:dyDescent="0.35">
      <c r="B190" s="24"/>
      <c r="C190" s="7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34"/>
      <c r="R190" s="27"/>
      <c r="S190" s="10"/>
      <c r="T190" s="10"/>
      <c r="U190" s="10"/>
      <c r="V190" s="10"/>
      <c r="W190" s="10"/>
      <c r="X190" s="10"/>
      <c r="Y190" s="10"/>
      <c r="Z190" s="10"/>
      <c r="AA190" s="34"/>
      <c r="AB190" s="27"/>
      <c r="AC190" s="11"/>
      <c r="AD190" s="11"/>
      <c r="AE190" s="11"/>
      <c r="AF190" s="11"/>
    </row>
    <row r="191" spans="2:32" ht="11.25" customHeight="1" x14ac:dyDescent="0.35">
      <c r="B191" s="24"/>
      <c r="C191" s="7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34"/>
      <c r="R191" s="27"/>
      <c r="S191" s="10"/>
      <c r="T191" s="10"/>
      <c r="U191" s="10"/>
      <c r="V191" s="10"/>
      <c r="W191" s="10"/>
      <c r="X191" s="10"/>
      <c r="Y191" s="10"/>
      <c r="Z191" s="10"/>
      <c r="AA191" s="34"/>
      <c r="AB191" s="27"/>
      <c r="AC191" s="11"/>
      <c r="AD191" s="11"/>
      <c r="AE191" s="11"/>
      <c r="AF191" s="11"/>
    </row>
    <row r="192" spans="2:32" ht="11.25" customHeight="1" x14ac:dyDescent="0.35">
      <c r="B192" s="24"/>
      <c r="C192" s="7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34"/>
      <c r="R192" s="27"/>
      <c r="S192" s="10"/>
      <c r="T192" s="10"/>
      <c r="U192" s="10"/>
      <c r="V192" s="10"/>
      <c r="W192" s="10"/>
      <c r="X192" s="10"/>
      <c r="Y192" s="10"/>
      <c r="Z192" s="10"/>
      <c r="AA192" s="34"/>
      <c r="AB192" s="27"/>
      <c r="AC192" s="11"/>
      <c r="AD192" s="11"/>
      <c r="AE192" s="11"/>
      <c r="AF192" s="11"/>
    </row>
    <row r="193" spans="2:32" ht="11.25" customHeight="1" x14ac:dyDescent="0.35">
      <c r="B193" s="24"/>
      <c r="C193" s="7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34"/>
      <c r="R193" s="27"/>
      <c r="S193" s="10"/>
      <c r="T193" s="10"/>
      <c r="U193" s="10"/>
      <c r="V193" s="10"/>
      <c r="W193" s="10"/>
      <c r="X193" s="10"/>
      <c r="Y193" s="10"/>
      <c r="Z193" s="10"/>
      <c r="AA193" s="34"/>
      <c r="AB193" s="27"/>
      <c r="AC193" s="11"/>
      <c r="AD193" s="11"/>
      <c r="AE193" s="11"/>
      <c r="AF193" s="11"/>
    </row>
    <row r="194" spans="2:32" ht="11.25" customHeight="1" x14ac:dyDescent="0.35">
      <c r="B194" s="24"/>
      <c r="C194" s="7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34"/>
      <c r="R194" s="27"/>
      <c r="S194" s="10"/>
      <c r="T194" s="10"/>
      <c r="U194" s="10"/>
      <c r="V194" s="10"/>
      <c r="W194" s="10"/>
      <c r="X194" s="10"/>
      <c r="Y194" s="10"/>
      <c r="Z194" s="10"/>
      <c r="AA194" s="34"/>
      <c r="AB194" s="27"/>
      <c r="AC194" s="11"/>
      <c r="AD194" s="11"/>
      <c r="AE194" s="11"/>
      <c r="AF194" s="11"/>
    </row>
    <row r="195" spans="2:32" ht="11.25" customHeight="1" x14ac:dyDescent="0.35">
      <c r="B195" s="24"/>
      <c r="C195" s="7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34"/>
      <c r="R195" s="27"/>
      <c r="S195" s="10"/>
      <c r="T195" s="10"/>
      <c r="U195" s="10"/>
      <c r="V195" s="10"/>
      <c r="W195" s="10"/>
      <c r="X195" s="10"/>
      <c r="Y195" s="10"/>
      <c r="Z195" s="10"/>
      <c r="AA195" s="34"/>
      <c r="AB195" s="27"/>
      <c r="AC195" s="11"/>
      <c r="AD195" s="11"/>
      <c r="AE195" s="11"/>
      <c r="AF195" s="11"/>
    </row>
    <row r="196" spans="2:32" ht="11.25" customHeight="1" x14ac:dyDescent="0.35">
      <c r="B196" s="24"/>
      <c r="C196" s="7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34"/>
      <c r="R196" s="27"/>
      <c r="S196" s="10"/>
      <c r="T196" s="10"/>
      <c r="U196" s="10"/>
      <c r="V196" s="10"/>
      <c r="W196" s="10"/>
      <c r="X196" s="10"/>
      <c r="Y196" s="10"/>
      <c r="Z196" s="10"/>
      <c r="AA196" s="34"/>
      <c r="AB196" s="27"/>
      <c r="AC196" s="11"/>
      <c r="AD196" s="11"/>
      <c r="AE196" s="11"/>
      <c r="AF196" s="11"/>
    </row>
    <row r="197" spans="2:32" ht="11.25" customHeight="1" x14ac:dyDescent="0.35">
      <c r="B197" s="24"/>
      <c r="C197" s="7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34"/>
      <c r="R197" s="27"/>
      <c r="S197" s="10"/>
      <c r="T197" s="10"/>
      <c r="U197" s="10"/>
      <c r="V197" s="10"/>
      <c r="W197" s="10"/>
      <c r="X197" s="10"/>
      <c r="Y197" s="10"/>
      <c r="Z197" s="10"/>
      <c r="AA197" s="34"/>
      <c r="AB197" s="27"/>
      <c r="AC197" s="11"/>
      <c r="AD197" s="11"/>
      <c r="AE197" s="11"/>
      <c r="AF197" s="11"/>
    </row>
    <row r="198" spans="2:32" ht="11.25" customHeight="1" x14ac:dyDescent="0.35">
      <c r="B198" s="24"/>
      <c r="C198" s="7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34"/>
      <c r="R198" s="27"/>
      <c r="S198" s="10"/>
      <c r="T198" s="10"/>
      <c r="U198" s="10"/>
      <c r="V198" s="10"/>
      <c r="W198" s="10"/>
      <c r="X198" s="10"/>
      <c r="Y198" s="10"/>
      <c r="Z198" s="10"/>
      <c r="AA198" s="34"/>
      <c r="AB198" s="27"/>
      <c r="AC198" s="11"/>
      <c r="AD198" s="11"/>
      <c r="AE198" s="11"/>
      <c r="AF198" s="11"/>
    </row>
    <row r="199" spans="2:32" ht="11.25" customHeight="1" x14ac:dyDescent="0.35">
      <c r="B199" s="24"/>
      <c r="C199" s="7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34"/>
      <c r="R199" s="27"/>
      <c r="S199" s="10"/>
      <c r="T199" s="10"/>
      <c r="U199" s="10"/>
      <c r="V199" s="10"/>
      <c r="W199" s="10"/>
      <c r="X199" s="10"/>
      <c r="Y199" s="10"/>
      <c r="Z199" s="10"/>
      <c r="AA199" s="34"/>
      <c r="AB199" s="27"/>
      <c r="AC199" s="11"/>
      <c r="AD199" s="11"/>
      <c r="AE199" s="11"/>
      <c r="AF199" s="11"/>
    </row>
    <row r="200" spans="2:32" ht="11.25" customHeight="1" x14ac:dyDescent="0.35">
      <c r="B200" s="24"/>
      <c r="C200" s="7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34"/>
      <c r="R200" s="27"/>
      <c r="S200" s="10"/>
      <c r="T200" s="10"/>
      <c r="U200" s="10"/>
      <c r="V200" s="10"/>
      <c r="W200" s="10"/>
      <c r="X200" s="10"/>
      <c r="Y200" s="10"/>
      <c r="Z200" s="10"/>
      <c r="AA200" s="34"/>
      <c r="AB200" s="27"/>
      <c r="AC200" s="11"/>
      <c r="AD200" s="11"/>
      <c r="AE200" s="11"/>
      <c r="AF200" s="11"/>
    </row>
    <row r="201" spans="2:32" ht="11.25" customHeight="1" x14ac:dyDescent="0.35">
      <c r="B201" s="24"/>
      <c r="C201" s="7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34"/>
      <c r="R201" s="27"/>
      <c r="S201" s="10"/>
      <c r="T201" s="10"/>
      <c r="U201" s="10"/>
      <c r="V201" s="10"/>
      <c r="W201" s="10"/>
      <c r="X201" s="10"/>
      <c r="Y201" s="10"/>
      <c r="Z201" s="10"/>
      <c r="AA201" s="34"/>
      <c r="AB201" s="27"/>
      <c r="AC201" s="11"/>
      <c r="AD201" s="11"/>
      <c r="AE201" s="11"/>
      <c r="AF201" s="11"/>
    </row>
    <row r="202" spans="2:32" ht="11.25" customHeight="1" x14ac:dyDescent="0.35">
      <c r="B202" s="24"/>
      <c r="C202" s="7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34"/>
      <c r="R202" s="27"/>
      <c r="S202" s="10"/>
      <c r="T202" s="10"/>
      <c r="U202" s="10"/>
      <c r="V202" s="10"/>
      <c r="W202" s="10"/>
      <c r="X202" s="10"/>
      <c r="Y202" s="10"/>
      <c r="Z202" s="10"/>
      <c r="AA202" s="34"/>
      <c r="AB202" s="27"/>
      <c r="AC202" s="11"/>
      <c r="AD202" s="11"/>
      <c r="AE202" s="11"/>
      <c r="AF202" s="11"/>
    </row>
    <row r="203" spans="2:32" ht="11.25" customHeight="1" x14ac:dyDescent="0.35">
      <c r="B203" s="24"/>
      <c r="C203" s="7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34"/>
      <c r="R203" s="27"/>
      <c r="S203" s="10"/>
      <c r="T203" s="10"/>
      <c r="U203" s="10"/>
      <c r="V203" s="10"/>
      <c r="W203" s="10"/>
      <c r="X203" s="10"/>
      <c r="Y203" s="10"/>
      <c r="Z203" s="10"/>
      <c r="AA203" s="34"/>
      <c r="AB203" s="27"/>
      <c r="AC203" s="11"/>
      <c r="AD203" s="11"/>
      <c r="AE203" s="11"/>
      <c r="AF203" s="11"/>
    </row>
    <row r="204" spans="2:32" ht="11.25" customHeight="1" x14ac:dyDescent="0.35">
      <c r="B204" s="24"/>
      <c r="C204" s="7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34"/>
      <c r="R204" s="27"/>
      <c r="S204" s="10"/>
      <c r="T204" s="10"/>
      <c r="U204" s="10"/>
      <c r="V204" s="10"/>
      <c r="W204" s="10"/>
      <c r="X204" s="10"/>
      <c r="Y204" s="10"/>
      <c r="Z204" s="10"/>
      <c r="AA204" s="34"/>
      <c r="AB204" s="27"/>
      <c r="AC204" s="11"/>
      <c r="AD204" s="11"/>
      <c r="AE204" s="11"/>
      <c r="AF204" s="11"/>
    </row>
    <row r="205" spans="2:32" ht="11.25" customHeight="1" x14ac:dyDescent="0.35">
      <c r="B205" s="24"/>
      <c r="C205" s="7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34"/>
      <c r="R205" s="27"/>
      <c r="S205" s="10"/>
      <c r="T205" s="10"/>
      <c r="U205" s="10"/>
      <c r="V205" s="10"/>
      <c r="W205" s="10"/>
      <c r="X205" s="10"/>
      <c r="Y205" s="10"/>
      <c r="Z205" s="10"/>
      <c r="AA205" s="34"/>
      <c r="AB205" s="27"/>
      <c r="AC205" s="11"/>
      <c r="AD205" s="11"/>
      <c r="AE205" s="11"/>
      <c r="AF205" s="11"/>
    </row>
    <row r="206" spans="2:32" ht="11.25" customHeight="1" x14ac:dyDescent="0.35">
      <c r="B206" s="24"/>
      <c r="C206" s="7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34"/>
      <c r="R206" s="27"/>
      <c r="S206" s="10"/>
      <c r="T206" s="10"/>
      <c r="U206" s="10"/>
      <c r="V206" s="10"/>
      <c r="W206" s="10"/>
      <c r="X206" s="10"/>
      <c r="Y206" s="10"/>
      <c r="Z206" s="10"/>
      <c r="AA206" s="34"/>
      <c r="AB206" s="27"/>
      <c r="AC206" s="11"/>
      <c r="AD206" s="11"/>
      <c r="AE206" s="11"/>
      <c r="AF206" s="11"/>
    </row>
    <row r="207" spans="2:32" ht="11.25" customHeight="1" x14ac:dyDescent="0.35">
      <c r="B207" s="24"/>
      <c r="C207" s="7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34"/>
      <c r="R207" s="27"/>
      <c r="S207" s="10"/>
      <c r="T207" s="10"/>
      <c r="U207" s="10"/>
      <c r="V207" s="10"/>
      <c r="W207" s="10"/>
      <c r="X207" s="10"/>
      <c r="Y207" s="10"/>
      <c r="Z207" s="10"/>
      <c r="AA207" s="34"/>
      <c r="AB207" s="27"/>
      <c r="AC207" s="11"/>
      <c r="AD207" s="11"/>
      <c r="AE207" s="11"/>
      <c r="AF207" s="11"/>
    </row>
    <row r="208" spans="2:32" ht="11.25" customHeight="1" x14ac:dyDescent="0.35">
      <c r="B208" s="24"/>
      <c r="C208" s="7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34"/>
      <c r="R208" s="27"/>
      <c r="S208" s="10"/>
      <c r="T208" s="10"/>
      <c r="U208" s="10"/>
      <c r="V208" s="10"/>
      <c r="W208" s="10"/>
      <c r="X208" s="10"/>
      <c r="Y208" s="10"/>
      <c r="Z208" s="10"/>
      <c r="AA208" s="34"/>
      <c r="AB208" s="27"/>
      <c r="AC208" s="11"/>
      <c r="AD208" s="11"/>
      <c r="AE208" s="11"/>
      <c r="AF208" s="11"/>
    </row>
    <row r="209" spans="2:32" ht="11.25" customHeight="1" x14ac:dyDescent="0.35">
      <c r="B209" s="24"/>
      <c r="C209" s="7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34"/>
      <c r="R209" s="27"/>
      <c r="S209" s="10"/>
      <c r="T209" s="10"/>
      <c r="U209" s="10"/>
      <c r="V209" s="10"/>
      <c r="W209" s="10"/>
      <c r="X209" s="10"/>
      <c r="Y209" s="10"/>
      <c r="Z209" s="10"/>
      <c r="AA209" s="34"/>
      <c r="AB209" s="27"/>
      <c r="AC209" s="11"/>
      <c r="AD209" s="11"/>
      <c r="AE209" s="11"/>
      <c r="AF209" s="11"/>
    </row>
    <row r="210" spans="2:32" ht="11.25" customHeight="1" x14ac:dyDescent="0.35">
      <c r="B210" s="24"/>
      <c r="C210" s="7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34"/>
      <c r="R210" s="27"/>
      <c r="S210" s="10"/>
      <c r="T210" s="10"/>
      <c r="U210" s="10"/>
      <c r="V210" s="10"/>
      <c r="W210" s="10"/>
      <c r="X210" s="10"/>
      <c r="Y210" s="10"/>
      <c r="Z210" s="10"/>
      <c r="AA210" s="34"/>
      <c r="AB210" s="27"/>
      <c r="AC210" s="11"/>
      <c r="AD210" s="11"/>
      <c r="AE210" s="11"/>
      <c r="AF210" s="11"/>
    </row>
    <row r="211" spans="2:32" ht="11.25" customHeight="1" x14ac:dyDescent="0.35">
      <c r="B211" s="24"/>
      <c r="C211" s="7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34"/>
      <c r="R211" s="27"/>
      <c r="S211" s="10"/>
      <c r="T211" s="10"/>
      <c r="U211" s="10"/>
      <c r="V211" s="10"/>
      <c r="W211" s="10"/>
      <c r="X211" s="10"/>
      <c r="Y211" s="10"/>
      <c r="Z211" s="10"/>
      <c r="AA211" s="34"/>
      <c r="AB211" s="27"/>
      <c r="AC211" s="11"/>
      <c r="AD211" s="11"/>
      <c r="AE211" s="11"/>
      <c r="AF211" s="11"/>
    </row>
    <row r="212" spans="2:32" ht="11.25" customHeight="1" x14ac:dyDescent="0.35">
      <c r="B212" s="24"/>
      <c r="C212" s="7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34"/>
      <c r="R212" s="27"/>
      <c r="S212" s="10"/>
      <c r="T212" s="10"/>
      <c r="U212" s="10"/>
      <c r="V212" s="10"/>
      <c r="W212" s="10"/>
      <c r="X212" s="10"/>
      <c r="Y212" s="10"/>
      <c r="Z212" s="10"/>
      <c r="AA212" s="34"/>
      <c r="AB212" s="27"/>
      <c r="AC212" s="11"/>
      <c r="AD212" s="11"/>
      <c r="AE212" s="11"/>
      <c r="AF212" s="11"/>
    </row>
    <row r="213" spans="2:32" ht="11.25" customHeight="1" x14ac:dyDescent="0.35">
      <c r="B213" s="24"/>
      <c r="C213" s="7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34"/>
      <c r="R213" s="27"/>
      <c r="S213" s="10"/>
      <c r="T213" s="10"/>
      <c r="U213" s="10"/>
      <c r="V213" s="10"/>
      <c r="W213" s="10"/>
      <c r="X213" s="10"/>
      <c r="Y213" s="10"/>
      <c r="Z213" s="10"/>
      <c r="AA213" s="34"/>
      <c r="AB213" s="27"/>
      <c r="AC213" s="11"/>
      <c r="AD213" s="11"/>
      <c r="AE213" s="11"/>
      <c r="AF213" s="11"/>
    </row>
    <row r="214" spans="2:32" ht="11.25" customHeight="1" x14ac:dyDescent="0.35">
      <c r="B214" s="24"/>
      <c r="C214" s="7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34"/>
      <c r="R214" s="27"/>
      <c r="S214" s="10"/>
      <c r="T214" s="10"/>
      <c r="U214" s="10"/>
      <c r="V214" s="10"/>
      <c r="W214" s="10"/>
      <c r="X214" s="10"/>
      <c r="Y214" s="10"/>
      <c r="Z214" s="10"/>
      <c r="AA214" s="34"/>
      <c r="AB214" s="27"/>
      <c r="AC214" s="11"/>
      <c r="AD214" s="11"/>
      <c r="AE214" s="11"/>
      <c r="AF214" s="11"/>
    </row>
    <row r="215" spans="2:32" ht="11.25" customHeight="1" x14ac:dyDescent="0.35">
      <c r="B215" s="24"/>
      <c r="C215" s="7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34"/>
      <c r="R215" s="27"/>
      <c r="S215" s="10"/>
      <c r="T215" s="10"/>
      <c r="U215" s="10"/>
      <c r="V215" s="10"/>
      <c r="W215" s="10"/>
      <c r="X215" s="10"/>
      <c r="Y215" s="10"/>
      <c r="Z215" s="10"/>
      <c r="AA215" s="34"/>
      <c r="AB215" s="27"/>
      <c r="AC215" s="11"/>
      <c r="AD215" s="11"/>
      <c r="AE215" s="11"/>
      <c r="AF215" s="11"/>
    </row>
    <row r="216" spans="2:32" ht="11.25" customHeight="1" x14ac:dyDescent="0.35">
      <c r="B216" s="24"/>
      <c r="C216" s="7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34"/>
      <c r="R216" s="27"/>
      <c r="S216" s="10"/>
      <c r="T216" s="10"/>
      <c r="U216" s="10"/>
      <c r="V216" s="10"/>
      <c r="W216" s="10"/>
      <c r="X216" s="10"/>
      <c r="Y216" s="10"/>
      <c r="Z216" s="10"/>
      <c r="AA216" s="34"/>
      <c r="AB216" s="27"/>
      <c r="AC216" s="11"/>
      <c r="AD216" s="11"/>
      <c r="AE216" s="11"/>
      <c r="AF216" s="11"/>
    </row>
    <row r="217" spans="2:32" ht="11.25" customHeight="1" x14ac:dyDescent="0.35">
      <c r="B217" s="24"/>
      <c r="C217" s="7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34"/>
      <c r="R217" s="27"/>
      <c r="S217" s="10"/>
      <c r="T217" s="10"/>
      <c r="U217" s="10"/>
      <c r="V217" s="10"/>
      <c r="W217" s="10"/>
      <c r="X217" s="10"/>
      <c r="Y217" s="10"/>
      <c r="Z217" s="10"/>
      <c r="AA217" s="34"/>
      <c r="AB217" s="27"/>
      <c r="AC217" s="11"/>
      <c r="AD217" s="11"/>
      <c r="AE217" s="11"/>
      <c r="AF217" s="11"/>
    </row>
    <row r="218" spans="2:32" ht="11.25" customHeight="1" x14ac:dyDescent="0.35">
      <c r="B218" s="24"/>
      <c r="C218" s="7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34"/>
      <c r="R218" s="27"/>
      <c r="S218" s="10"/>
      <c r="T218" s="10"/>
      <c r="U218" s="10"/>
      <c r="V218" s="10"/>
      <c r="W218" s="10"/>
      <c r="X218" s="10"/>
      <c r="Y218" s="10"/>
      <c r="Z218" s="10"/>
      <c r="AA218" s="34"/>
      <c r="AB218" s="27"/>
      <c r="AC218" s="11"/>
      <c r="AD218" s="11"/>
      <c r="AE218" s="11"/>
      <c r="AF218" s="11"/>
    </row>
    <row r="219" spans="2:32" ht="11.25" customHeight="1" x14ac:dyDescent="0.35">
      <c r="B219" s="24"/>
      <c r="C219" s="7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34"/>
      <c r="R219" s="27"/>
      <c r="S219" s="10"/>
      <c r="T219" s="10"/>
      <c r="U219" s="10"/>
      <c r="V219" s="10"/>
      <c r="W219" s="10"/>
      <c r="X219" s="10"/>
      <c r="Y219" s="10"/>
      <c r="Z219" s="10"/>
      <c r="AA219" s="34"/>
      <c r="AB219" s="27"/>
      <c r="AC219" s="11"/>
      <c r="AD219" s="11"/>
      <c r="AE219" s="11"/>
      <c r="AF219" s="11"/>
    </row>
    <row r="220" spans="2:32" ht="11.25" customHeight="1" x14ac:dyDescent="0.35">
      <c r="B220" s="24"/>
      <c r="C220" s="7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34"/>
      <c r="R220" s="27"/>
      <c r="S220" s="10"/>
      <c r="T220" s="10"/>
      <c r="U220" s="10"/>
      <c r="V220" s="10"/>
      <c r="W220" s="10"/>
      <c r="X220" s="10"/>
      <c r="Y220" s="10"/>
      <c r="Z220" s="10"/>
      <c r="AA220" s="34"/>
      <c r="AB220" s="27"/>
      <c r="AC220" s="11"/>
      <c r="AD220" s="11"/>
      <c r="AE220" s="11"/>
      <c r="AF220" s="11"/>
    </row>
    <row r="221" spans="2:32" ht="11.25" customHeight="1" x14ac:dyDescent="0.35">
      <c r="B221" s="24"/>
      <c r="C221" s="7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34"/>
      <c r="R221" s="27"/>
      <c r="S221" s="10"/>
      <c r="T221" s="10"/>
      <c r="U221" s="10"/>
      <c r="V221" s="10"/>
      <c r="W221" s="10"/>
      <c r="X221" s="10"/>
      <c r="Y221" s="10"/>
      <c r="Z221" s="10"/>
      <c r="AA221" s="34"/>
      <c r="AB221" s="27"/>
      <c r="AC221" s="11"/>
      <c r="AD221" s="11"/>
      <c r="AE221" s="11"/>
      <c r="AF221" s="11"/>
    </row>
    <row r="222" spans="2:32" ht="11.25" customHeight="1" x14ac:dyDescent="0.35">
      <c r="B222" s="24"/>
      <c r="C222" s="7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34"/>
      <c r="R222" s="27"/>
      <c r="S222" s="10"/>
      <c r="T222" s="10"/>
      <c r="U222" s="10"/>
      <c r="V222" s="10"/>
      <c r="W222" s="10"/>
      <c r="X222" s="10"/>
      <c r="Y222" s="10"/>
      <c r="Z222" s="10"/>
      <c r="AA222" s="34"/>
      <c r="AB222" s="27"/>
      <c r="AC222" s="11"/>
      <c r="AD222" s="11"/>
      <c r="AE222" s="11"/>
      <c r="AF222" s="11"/>
    </row>
    <row r="223" spans="2:32" ht="11.25" customHeight="1" x14ac:dyDescent="0.35">
      <c r="B223" s="24"/>
      <c r="C223" s="7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34"/>
      <c r="R223" s="27"/>
      <c r="S223" s="10"/>
      <c r="T223" s="10"/>
      <c r="U223" s="10"/>
      <c r="V223" s="10"/>
      <c r="W223" s="10"/>
      <c r="X223" s="10"/>
      <c r="Y223" s="10"/>
      <c r="Z223" s="10"/>
      <c r="AA223" s="34"/>
      <c r="AB223" s="27"/>
      <c r="AC223" s="11"/>
      <c r="AD223" s="11"/>
      <c r="AE223" s="11"/>
      <c r="AF223" s="11"/>
    </row>
    <row r="224" spans="2:32" ht="11.25" customHeight="1" x14ac:dyDescent="0.35">
      <c r="B224" s="24"/>
      <c r="C224" s="7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34"/>
      <c r="R224" s="27"/>
      <c r="S224" s="10"/>
      <c r="T224" s="10"/>
      <c r="U224" s="10"/>
      <c r="V224" s="10"/>
      <c r="W224" s="10"/>
      <c r="X224" s="10"/>
      <c r="Y224" s="10"/>
      <c r="Z224" s="10"/>
      <c r="AA224" s="34"/>
      <c r="AB224" s="27"/>
      <c r="AC224" s="11"/>
      <c r="AD224" s="11"/>
      <c r="AE224" s="11"/>
      <c r="AF224" s="11"/>
    </row>
    <row r="225" spans="2:32" ht="11.25" customHeight="1" x14ac:dyDescent="0.35">
      <c r="B225" s="24"/>
      <c r="C225" s="7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34"/>
      <c r="R225" s="27"/>
      <c r="S225" s="10"/>
      <c r="T225" s="10"/>
      <c r="U225" s="10"/>
      <c r="V225" s="10"/>
      <c r="W225" s="10"/>
      <c r="X225" s="10"/>
      <c r="Y225" s="10"/>
      <c r="Z225" s="10"/>
      <c r="AA225" s="34"/>
      <c r="AB225" s="27"/>
      <c r="AC225" s="11"/>
      <c r="AD225" s="11"/>
      <c r="AE225" s="11"/>
      <c r="AF225" s="11"/>
    </row>
    <row r="226" spans="2:32" ht="11.25" customHeight="1" x14ac:dyDescent="0.35">
      <c r="B226" s="24"/>
      <c r="C226" s="7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34"/>
      <c r="R226" s="27"/>
      <c r="S226" s="10"/>
      <c r="T226" s="10"/>
      <c r="U226" s="10"/>
      <c r="V226" s="10"/>
      <c r="W226" s="10"/>
      <c r="X226" s="10"/>
      <c r="Y226" s="10"/>
      <c r="Z226" s="10"/>
      <c r="AA226" s="34"/>
      <c r="AB226" s="27"/>
      <c r="AC226" s="11"/>
      <c r="AD226" s="11"/>
      <c r="AE226" s="11"/>
      <c r="AF226" s="11"/>
    </row>
    <row r="227" spans="2:32" ht="11.25" customHeight="1" x14ac:dyDescent="0.35">
      <c r="B227" s="24"/>
      <c r="C227" s="7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34"/>
      <c r="R227" s="27"/>
      <c r="S227" s="10"/>
      <c r="T227" s="10"/>
      <c r="U227" s="10"/>
      <c r="V227" s="10"/>
      <c r="W227" s="10"/>
      <c r="X227" s="10"/>
      <c r="Y227" s="10"/>
      <c r="Z227" s="10"/>
      <c r="AA227" s="34"/>
      <c r="AB227" s="27"/>
      <c r="AC227" s="11"/>
      <c r="AD227" s="11"/>
      <c r="AE227" s="11"/>
      <c r="AF227" s="11"/>
    </row>
    <row r="228" spans="2:32" ht="11.25" customHeight="1" x14ac:dyDescent="0.35">
      <c r="B228" s="24"/>
      <c r="C228" s="7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34"/>
      <c r="R228" s="27"/>
      <c r="S228" s="10"/>
      <c r="T228" s="10"/>
      <c r="U228" s="10"/>
      <c r="V228" s="10"/>
      <c r="W228" s="10"/>
      <c r="X228" s="10"/>
      <c r="Y228" s="10"/>
      <c r="Z228" s="10"/>
      <c r="AA228" s="34"/>
      <c r="AB228" s="27"/>
      <c r="AC228" s="11"/>
      <c r="AD228" s="11"/>
      <c r="AE228" s="11"/>
      <c r="AF228" s="11"/>
    </row>
    <row r="229" spans="2:32" ht="11.25" customHeight="1" x14ac:dyDescent="0.35">
      <c r="B229" s="24"/>
      <c r="C229" s="7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34"/>
      <c r="R229" s="27"/>
      <c r="S229" s="10"/>
      <c r="T229" s="10"/>
      <c r="U229" s="10"/>
      <c r="V229" s="10"/>
      <c r="W229" s="10"/>
      <c r="X229" s="10"/>
      <c r="Y229" s="10"/>
      <c r="Z229" s="10"/>
      <c r="AA229" s="34"/>
      <c r="AB229" s="27"/>
      <c r="AC229" s="11"/>
      <c r="AD229" s="11"/>
      <c r="AE229" s="11"/>
      <c r="AF229" s="11"/>
    </row>
    <row r="230" spans="2:32" ht="11.25" customHeight="1" x14ac:dyDescent="0.35">
      <c r="B230" s="24"/>
      <c r="C230" s="7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34"/>
      <c r="R230" s="27"/>
      <c r="S230" s="10"/>
      <c r="T230" s="10"/>
      <c r="U230" s="10"/>
      <c r="V230" s="10"/>
      <c r="W230" s="10"/>
      <c r="X230" s="10"/>
      <c r="Y230" s="10"/>
      <c r="Z230" s="10"/>
      <c r="AA230" s="34"/>
      <c r="AB230" s="27"/>
      <c r="AC230" s="11"/>
      <c r="AD230" s="11"/>
      <c r="AE230" s="11"/>
      <c r="AF230" s="11"/>
    </row>
    <row r="231" spans="2:32" ht="11.25" customHeight="1" x14ac:dyDescent="0.35">
      <c r="B231" s="24"/>
      <c r="C231" s="7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34"/>
      <c r="R231" s="27"/>
      <c r="S231" s="10"/>
      <c r="T231" s="10"/>
      <c r="U231" s="10"/>
      <c r="V231" s="10"/>
      <c r="W231" s="10"/>
      <c r="X231" s="10"/>
      <c r="Y231" s="10"/>
      <c r="Z231" s="10"/>
      <c r="AA231" s="34"/>
      <c r="AB231" s="27"/>
      <c r="AC231" s="11"/>
      <c r="AD231" s="11"/>
      <c r="AE231" s="11"/>
      <c r="AF231" s="11"/>
    </row>
    <row r="232" spans="2:32" ht="11.25" customHeight="1" x14ac:dyDescent="0.35">
      <c r="B232" s="24"/>
      <c r="C232" s="7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34"/>
      <c r="R232" s="27"/>
      <c r="S232" s="10"/>
      <c r="T232" s="10"/>
      <c r="U232" s="10"/>
      <c r="V232" s="10"/>
      <c r="W232" s="10"/>
      <c r="X232" s="10"/>
      <c r="Y232" s="10"/>
      <c r="Z232" s="10"/>
      <c r="AA232" s="34"/>
      <c r="AB232" s="27"/>
      <c r="AC232" s="11"/>
      <c r="AD232" s="11"/>
      <c r="AE232" s="11"/>
      <c r="AF232" s="11"/>
    </row>
    <row r="233" spans="2:32" ht="11.25" customHeight="1" x14ac:dyDescent="0.35">
      <c r="B233" s="24"/>
      <c r="C233" s="7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34"/>
      <c r="R233" s="27"/>
      <c r="S233" s="10"/>
      <c r="T233" s="10"/>
      <c r="U233" s="10"/>
      <c r="V233" s="10"/>
      <c r="W233" s="10"/>
      <c r="X233" s="10"/>
      <c r="Y233" s="10"/>
      <c r="Z233" s="10"/>
      <c r="AA233" s="34"/>
      <c r="AB233" s="27"/>
      <c r="AC233" s="11"/>
      <c r="AD233" s="11"/>
      <c r="AE233" s="11"/>
      <c r="AF233" s="11"/>
    </row>
    <row r="234" spans="2:32" ht="11.25" customHeight="1" x14ac:dyDescent="0.35">
      <c r="B234" s="24"/>
      <c r="C234" s="7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34"/>
      <c r="R234" s="27"/>
      <c r="S234" s="10"/>
      <c r="T234" s="10"/>
      <c r="U234" s="10"/>
      <c r="V234" s="10"/>
      <c r="W234" s="10"/>
      <c r="X234" s="10"/>
      <c r="Y234" s="10"/>
      <c r="Z234" s="10"/>
      <c r="AA234" s="34"/>
      <c r="AB234" s="27"/>
      <c r="AC234" s="11"/>
      <c r="AD234" s="11"/>
      <c r="AE234" s="11"/>
      <c r="AF234" s="11"/>
    </row>
    <row r="235" spans="2:32" ht="11.25" customHeight="1" x14ac:dyDescent="0.35">
      <c r="B235" s="24"/>
      <c r="C235" s="7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34"/>
      <c r="R235" s="27"/>
      <c r="S235" s="10"/>
      <c r="T235" s="10"/>
      <c r="U235" s="10"/>
      <c r="V235" s="10"/>
      <c r="W235" s="10"/>
      <c r="X235" s="10"/>
      <c r="Y235" s="10"/>
      <c r="Z235" s="10"/>
      <c r="AA235" s="34"/>
      <c r="AB235" s="27"/>
      <c r="AC235" s="11"/>
      <c r="AD235" s="11"/>
      <c r="AE235" s="11"/>
      <c r="AF235" s="11"/>
    </row>
    <row r="236" spans="2:32" ht="11.25" customHeight="1" x14ac:dyDescent="0.35">
      <c r="B236" s="24"/>
      <c r="C236" s="7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34"/>
      <c r="R236" s="27"/>
      <c r="S236" s="10"/>
      <c r="T236" s="10"/>
      <c r="U236" s="10"/>
      <c r="V236" s="10"/>
      <c r="W236" s="10"/>
      <c r="X236" s="10"/>
      <c r="Y236" s="10"/>
      <c r="Z236" s="10"/>
      <c r="AA236" s="34"/>
      <c r="AB236" s="27"/>
      <c r="AC236" s="11"/>
      <c r="AD236" s="11"/>
      <c r="AE236" s="11"/>
      <c r="AF236" s="11"/>
    </row>
    <row r="237" spans="2:32" ht="11.25" customHeight="1" x14ac:dyDescent="0.35">
      <c r="B237" s="24"/>
      <c r="C237" s="7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34"/>
      <c r="R237" s="27"/>
      <c r="S237" s="10"/>
      <c r="T237" s="10"/>
      <c r="U237" s="10"/>
      <c r="V237" s="10"/>
      <c r="W237" s="10"/>
      <c r="X237" s="10"/>
      <c r="Y237" s="10"/>
      <c r="Z237" s="10"/>
      <c r="AA237" s="34"/>
      <c r="AB237" s="27"/>
      <c r="AC237" s="11"/>
      <c r="AD237" s="11"/>
      <c r="AE237" s="11"/>
      <c r="AF237" s="11"/>
    </row>
    <row r="238" spans="2:32" ht="11.25" customHeight="1" x14ac:dyDescent="0.35">
      <c r="B238" s="24"/>
      <c r="C238" s="7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34"/>
      <c r="R238" s="27"/>
      <c r="S238" s="10"/>
      <c r="T238" s="10"/>
      <c r="U238" s="10"/>
      <c r="V238" s="10"/>
      <c r="W238" s="10"/>
      <c r="X238" s="10"/>
      <c r="Y238" s="10"/>
      <c r="Z238" s="10"/>
      <c r="AA238" s="34"/>
      <c r="AB238" s="27"/>
      <c r="AC238" s="11"/>
      <c r="AD238" s="11"/>
      <c r="AE238" s="11"/>
      <c r="AF238" s="11"/>
    </row>
    <row r="239" spans="2:32" ht="11.25" customHeight="1" x14ac:dyDescent="0.35">
      <c r="B239" s="24"/>
      <c r="C239" s="7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34"/>
      <c r="R239" s="27"/>
      <c r="S239" s="10"/>
      <c r="T239" s="10"/>
      <c r="U239" s="10"/>
      <c r="V239" s="10"/>
      <c r="W239" s="10"/>
      <c r="X239" s="10"/>
      <c r="Y239" s="10"/>
      <c r="Z239" s="10"/>
      <c r="AA239" s="34"/>
      <c r="AB239" s="27"/>
      <c r="AC239" s="11"/>
      <c r="AD239" s="11"/>
      <c r="AE239" s="11"/>
      <c r="AF239" s="11"/>
    </row>
    <row r="240" spans="2:32" ht="11.25" customHeight="1" x14ac:dyDescent="0.35">
      <c r="B240" s="24"/>
      <c r="C240" s="7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34"/>
      <c r="R240" s="27"/>
      <c r="S240" s="10"/>
      <c r="T240" s="10"/>
      <c r="U240" s="10"/>
      <c r="V240" s="10"/>
      <c r="W240" s="10"/>
      <c r="X240" s="10"/>
      <c r="Y240" s="10"/>
      <c r="Z240" s="10"/>
      <c r="AA240" s="34"/>
      <c r="AB240" s="27"/>
      <c r="AC240" s="11"/>
      <c r="AD240" s="11"/>
      <c r="AE240" s="11"/>
      <c r="AF240" s="11"/>
    </row>
    <row r="241" spans="2:32" ht="11.25" customHeight="1" x14ac:dyDescent="0.35">
      <c r="B241" s="24"/>
      <c r="C241" s="7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34"/>
      <c r="R241" s="27"/>
      <c r="S241" s="10"/>
      <c r="T241" s="10"/>
      <c r="U241" s="10"/>
      <c r="V241" s="10"/>
      <c r="W241" s="10"/>
      <c r="X241" s="10"/>
      <c r="Y241" s="10"/>
      <c r="Z241" s="10"/>
      <c r="AA241" s="34"/>
      <c r="AB241" s="27"/>
      <c r="AC241" s="11"/>
      <c r="AD241" s="11"/>
      <c r="AE241" s="11"/>
      <c r="AF241" s="11"/>
    </row>
    <row r="242" spans="2:32" ht="11.25" customHeight="1" x14ac:dyDescent="0.35">
      <c r="B242" s="24"/>
      <c r="C242" s="7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34"/>
      <c r="R242" s="27"/>
      <c r="S242" s="10"/>
      <c r="T242" s="10"/>
      <c r="U242" s="10"/>
      <c r="V242" s="10"/>
      <c r="W242" s="10"/>
      <c r="X242" s="10"/>
      <c r="Y242" s="10"/>
      <c r="Z242" s="10"/>
      <c r="AA242" s="34"/>
      <c r="AB242" s="27"/>
      <c r="AC242" s="11"/>
      <c r="AD242" s="11"/>
      <c r="AE242" s="11"/>
      <c r="AF242" s="11"/>
    </row>
    <row r="243" spans="2:32" ht="11.25" customHeight="1" x14ac:dyDescent="0.35">
      <c r="B243" s="24"/>
      <c r="C243" s="7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34"/>
      <c r="R243" s="27"/>
      <c r="S243" s="10"/>
      <c r="T243" s="10"/>
      <c r="U243" s="10"/>
      <c r="V243" s="10"/>
      <c r="W243" s="10"/>
      <c r="X243" s="10"/>
      <c r="Y243" s="10"/>
      <c r="Z243" s="10"/>
      <c r="AA243" s="34"/>
      <c r="AB243" s="27"/>
      <c r="AC243" s="11"/>
      <c r="AD243" s="11"/>
      <c r="AE243" s="11"/>
      <c r="AF243" s="11"/>
    </row>
    <row r="244" spans="2:32" ht="11.25" customHeight="1" x14ac:dyDescent="0.35">
      <c r="B244" s="24"/>
      <c r="C244" s="7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34"/>
      <c r="R244" s="27"/>
      <c r="S244" s="10"/>
      <c r="T244" s="10"/>
      <c r="U244" s="10"/>
      <c r="V244" s="10"/>
      <c r="W244" s="10"/>
      <c r="X244" s="10"/>
      <c r="Y244" s="10"/>
      <c r="Z244" s="10"/>
      <c r="AA244" s="34"/>
      <c r="AB244" s="27"/>
      <c r="AC244" s="11"/>
      <c r="AD244" s="11"/>
      <c r="AE244" s="11"/>
      <c r="AF244" s="11"/>
    </row>
    <row r="245" spans="2:32" ht="11.25" customHeight="1" x14ac:dyDescent="0.35">
      <c r="B245" s="24"/>
      <c r="C245" s="7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34"/>
      <c r="R245" s="27"/>
      <c r="S245" s="10"/>
      <c r="T245" s="10"/>
      <c r="U245" s="10"/>
      <c r="V245" s="10"/>
      <c r="W245" s="10"/>
      <c r="X245" s="10"/>
      <c r="Y245" s="10"/>
      <c r="Z245" s="10"/>
      <c r="AA245" s="34"/>
      <c r="AB245" s="27"/>
      <c r="AC245" s="11"/>
      <c r="AD245" s="11"/>
      <c r="AE245" s="11"/>
      <c r="AF245" s="11"/>
    </row>
    <row r="246" spans="2:32" ht="11.25" customHeight="1" x14ac:dyDescent="0.35">
      <c r="B246" s="24"/>
      <c r="C246" s="7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34"/>
      <c r="R246" s="27"/>
      <c r="S246" s="10"/>
      <c r="T246" s="10"/>
      <c r="U246" s="10"/>
      <c r="V246" s="10"/>
      <c r="W246" s="10"/>
      <c r="X246" s="10"/>
      <c r="Y246" s="10"/>
      <c r="Z246" s="10"/>
      <c r="AA246" s="34"/>
      <c r="AB246" s="27"/>
      <c r="AC246" s="11"/>
      <c r="AD246" s="11"/>
      <c r="AE246" s="11"/>
      <c r="AF246" s="11"/>
    </row>
    <row r="247" spans="2:32" ht="11.25" customHeight="1" x14ac:dyDescent="0.35">
      <c r="B247" s="24"/>
      <c r="C247" s="7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34"/>
      <c r="R247" s="27"/>
      <c r="S247" s="10"/>
      <c r="T247" s="10"/>
      <c r="U247" s="10"/>
      <c r="V247" s="10"/>
      <c r="W247" s="10"/>
      <c r="X247" s="10"/>
      <c r="Y247" s="10"/>
      <c r="Z247" s="10"/>
      <c r="AA247" s="34"/>
      <c r="AB247" s="27"/>
      <c r="AC247" s="11"/>
      <c r="AD247" s="11"/>
      <c r="AE247" s="11"/>
      <c r="AF247" s="11"/>
    </row>
    <row r="248" spans="2:32" ht="11.25" customHeight="1" x14ac:dyDescent="0.35">
      <c r="B248" s="24"/>
      <c r="C248" s="7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34"/>
      <c r="R248" s="27"/>
      <c r="S248" s="10"/>
      <c r="T248" s="10"/>
      <c r="U248" s="10"/>
      <c r="V248" s="10"/>
      <c r="W248" s="10"/>
      <c r="X248" s="10"/>
      <c r="Y248" s="10"/>
      <c r="Z248" s="10"/>
      <c r="AA248" s="34"/>
      <c r="AB248" s="27"/>
      <c r="AC248" s="11"/>
      <c r="AD248" s="11"/>
      <c r="AE248" s="11"/>
      <c r="AF248" s="11"/>
    </row>
    <row r="249" spans="2:32" ht="11.25" customHeight="1" x14ac:dyDescent="0.35">
      <c r="B249" s="24"/>
      <c r="C249" s="7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34"/>
      <c r="R249" s="27"/>
      <c r="S249" s="10"/>
      <c r="T249" s="10"/>
      <c r="U249" s="10"/>
      <c r="V249" s="10"/>
      <c r="W249" s="10"/>
      <c r="X249" s="10"/>
      <c r="Y249" s="10"/>
      <c r="Z249" s="10"/>
      <c r="AA249" s="34"/>
      <c r="AB249" s="27"/>
      <c r="AC249" s="11"/>
      <c r="AD249" s="11"/>
      <c r="AE249" s="11"/>
      <c r="AF249" s="11"/>
    </row>
    <row r="250" spans="2:32" ht="11.25" customHeight="1" x14ac:dyDescent="0.35">
      <c r="B250" s="24"/>
      <c r="C250" s="7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34"/>
      <c r="R250" s="27"/>
      <c r="S250" s="10"/>
      <c r="T250" s="10"/>
      <c r="U250" s="10"/>
      <c r="V250" s="10"/>
      <c r="W250" s="10"/>
      <c r="X250" s="10"/>
      <c r="Y250" s="10"/>
      <c r="Z250" s="10"/>
      <c r="AA250" s="34"/>
      <c r="AB250" s="27"/>
      <c r="AC250" s="11"/>
      <c r="AD250" s="11"/>
      <c r="AE250" s="11"/>
      <c r="AF250" s="11"/>
    </row>
    <row r="251" spans="2:32" ht="11.25" customHeight="1" x14ac:dyDescent="0.35">
      <c r="B251" s="24"/>
      <c r="C251" s="7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34"/>
      <c r="R251" s="27"/>
      <c r="S251" s="10"/>
      <c r="T251" s="10"/>
      <c r="U251" s="10"/>
      <c r="V251" s="10"/>
      <c r="W251" s="10"/>
      <c r="X251" s="10"/>
      <c r="Y251" s="10"/>
      <c r="Z251" s="10"/>
      <c r="AA251" s="34"/>
      <c r="AB251" s="27"/>
      <c r="AC251" s="11"/>
      <c r="AD251" s="11"/>
      <c r="AE251" s="11"/>
      <c r="AF251" s="11"/>
    </row>
    <row r="252" spans="2:32" ht="11.25" customHeight="1" x14ac:dyDescent="0.35">
      <c r="B252" s="24"/>
      <c r="C252" s="7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34"/>
      <c r="R252" s="27"/>
      <c r="S252" s="10"/>
      <c r="T252" s="10"/>
      <c r="U252" s="10"/>
      <c r="V252" s="10"/>
      <c r="W252" s="10"/>
      <c r="X252" s="10"/>
      <c r="Y252" s="10"/>
      <c r="Z252" s="10"/>
      <c r="AA252" s="34"/>
      <c r="AB252" s="27"/>
      <c r="AC252" s="11"/>
      <c r="AD252" s="11"/>
      <c r="AE252" s="11"/>
      <c r="AF252" s="11"/>
    </row>
    <row r="253" spans="2:32" ht="11.25" customHeight="1" x14ac:dyDescent="0.35">
      <c r="B253" s="24"/>
      <c r="C253" s="7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34"/>
      <c r="R253" s="27"/>
      <c r="S253" s="10"/>
      <c r="T253" s="10"/>
      <c r="U253" s="10"/>
      <c r="V253" s="10"/>
      <c r="W253" s="10"/>
      <c r="X253" s="10"/>
      <c r="Y253" s="10"/>
      <c r="Z253" s="10"/>
      <c r="AA253" s="34"/>
      <c r="AB253" s="27"/>
      <c r="AC253" s="11"/>
      <c r="AD253" s="11"/>
      <c r="AE253" s="11"/>
      <c r="AF253" s="11"/>
    </row>
    <row r="254" spans="2:32" ht="11.25" customHeight="1" x14ac:dyDescent="0.35">
      <c r="B254" s="24"/>
      <c r="C254" s="7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34"/>
      <c r="R254" s="27"/>
      <c r="S254" s="10"/>
      <c r="T254" s="10"/>
      <c r="U254" s="10"/>
      <c r="V254" s="10"/>
      <c r="W254" s="10"/>
      <c r="X254" s="10"/>
      <c r="Y254" s="10"/>
      <c r="Z254" s="10"/>
      <c r="AA254" s="34"/>
      <c r="AB254" s="27"/>
      <c r="AC254" s="11"/>
      <c r="AD254" s="11"/>
      <c r="AE254" s="11"/>
      <c r="AF254" s="11"/>
    </row>
    <row r="255" spans="2:32" ht="11.25" customHeight="1" x14ac:dyDescent="0.35">
      <c r="B255" s="24"/>
      <c r="C255" s="7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34"/>
      <c r="R255" s="27"/>
      <c r="S255" s="10"/>
      <c r="T255" s="10"/>
      <c r="U255" s="10"/>
      <c r="V255" s="10"/>
      <c r="W255" s="10"/>
      <c r="X255" s="10"/>
      <c r="Y255" s="10"/>
      <c r="Z255" s="10"/>
      <c r="AA255" s="34"/>
      <c r="AB255" s="27"/>
      <c r="AC255" s="11"/>
      <c r="AD255" s="11"/>
      <c r="AE255" s="11"/>
      <c r="AF255" s="11"/>
    </row>
    <row r="256" spans="2:32" ht="11.25" customHeight="1" x14ac:dyDescent="0.35">
      <c r="B256" s="24"/>
      <c r="C256" s="7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34"/>
      <c r="R256" s="27"/>
      <c r="S256" s="10"/>
      <c r="T256" s="10"/>
      <c r="U256" s="10"/>
      <c r="V256" s="10"/>
      <c r="W256" s="10"/>
      <c r="X256" s="10"/>
      <c r="Y256" s="10"/>
      <c r="Z256" s="10"/>
      <c r="AA256" s="34"/>
      <c r="AB256" s="27"/>
      <c r="AC256" s="11"/>
      <c r="AD256" s="11"/>
      <c r="AE256" s="11"/>
      <c r="AF256" s="11"/>
    </row>
    <row r="257" spans="2:32" ht="11.25" customHeight="1" x14ac:dyDescent="0.35">
      <c r="B257" s="24"/>
      <c r="C257" s="7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34"/>
      <c r="R257" s="27"/>
      <c r="S257" s="10"/>
      <c r="T257" s="10"/>
      <c r="U257" s="10"/>
      <c r="V257" s="10"/>
      <c r="W257" s="10"/>
      <c r="X257" s="10"/>
      <c r="Y257" s="10"/>
      <c r="Z257" s="10"/>
      <c r="AA257" s="34"/>
      <c r="AB257" s="27"/>
      <c r="AC257" s="11"/>
      <c r="AD257" s="11"/>
      <c r="AE257" s="11"/>
      <c r="AF257" s="11"/>
    </row>
    <row r="258" spans="2:32" ht="11.25" customHeight="1" x14ac:dyDescent="0.35">
      <c r="B258" s="24"/>
      <c r="C258" s="7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34"/>
      <c r="R258" s="27"/>
      <c r="S258" s="10"/>
      <c r="T258" s="10"/>
      <c r="U258" s="10"/>
      <c r="V258" s="10"/>
      <c r="W258" s="10"/>
      <c r="X258" s="10"/>
      <c r="Y258" s="10"/>
      <c r="Z258" s="10"/>
      <c r="AA258" s="34"/>
      <c r="AB258" s="27"/>
      <c r="AC258" s="11"/>
      <c r="AD258" s="11"/>
      <c r="AE258" s="11"/>
      <c r="AF258" s="11"/>
    </row>
    <row r="259" spans="2:32" ht="11.25" customHeight="1" x14ac:dyDescent="0.35">
      <c r="B259" s="24"/>
      <c r="C259" s="7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34"/>
      <c r="R259" s="27"/>
      <c r="S259" s="10"/>
      <c r="T259" s="10"/>
      <c r="U259" s="10"/>
      <c r="V259" s="10"/>
      <c r="W259" s="10"/>
      <c r="X259" s="10"/>
      <c r="Y259" s="10"/>
      <c r="Z259" s="10"/>
      <c r="AA259" s="34"/>
      <c r="AB259" s="27"/>
      <c r="AC259" s="11"/>
      <c r="AD259" s="11"/>
      <c r="AE259" s="11"/>
      <c r="AF259" s="11"/>
    </row>
    <row r="260" spans="2:32" ht="11.25" customHeight="1" x14ac:dyDescent="0.35">
      <c r="B260" s="24"/>
      <c r="C260" s="7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34"/>
      <c r="R260" s="27"/>
      <c r="S260" s="10"/>
      <c r="T260" s="10"/>
      <c r="U260" s="10"/>
      <c r="V260" s="10"/>
      <c r="W260" s="10"/>
      <c r="X260" s="10"/>
      <c r="Y260" s="10"/>
      <c r="Z260" s="10"/>
      <c r="AA260" s="34"/>
      <c r="AB260" s="27"/>
      <c r="AC260" s="11"/>
      <c r="AD260" s="11"/>
      <c r="AE260" s="11"/>
      <c r="AF260" s="11"/>
    </row>
    <row r="261" spans="2:32" ht="11.25" customHeight="1" x14ac:dyDescent="0.35">
      <c r="B261" s="24"/>
      <c r="C261" s="7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34"/>
      <c r="R261" s="27"/>
      <c r="S261" s="10"/>
      <c r="T261" s="10"/>
      <c r="U261" s="10"/>
      <c r="V261" s="10"/>
      <c r="W261" s="10"/>
      <c r="X261" s="10"/>
      <c r="Y261" s="10"/>
      <c r="Z261" s="10"/>
      <c r="AA261" s="34"/>
      <c r="AB261" s="27"/>
      <c r="AC261" s="11"/>
      <c r="AD261" s="11"/>
      <c r="AE261" s="11"/>
      <c r="AF261" s="11"/>
    </row>
    <row r="262" spans="2:32" ht="11.25" customHeight="1" x14ac:dyDescent="0.35">
      <c r="B262" s="24"/>
      <c r="C262" s="7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34"/>
      <c r="R262" s="27"/>
      <c r="S262" s="10"/>
      <c r="T262" s="10"/>
      <c r="U262" s="10"/>
      <c r="V262" s="10"/>
      <c r="W262" s="10"/>
      <c r="X262" s="10"/>
      <c r="Y262" s="10"/>
      <c r="Z262" s="10"/>
      <c r="AA262" s="34"/>
      <c r="AB262" s="27"/>
      <c r="AC262" s="11"/>
      <c r="AD262" s="11"/>
      <c r="AE262" s="11"/>
      <c r="AF262" s="11"/>
    </row>
    <row r="263" spans="2:32" ht="11.25" customHeight="1" x14ac:dyDescent="0.35">
      <c r="B263" s="24"/>
      <c r="C263" s="7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34"/>
      <c r="R263" s="27"/>
      <c r="S263" s="10"/>
      <c r="T263" s="10"/>
      <c r="U263" s="10"/>
      <c r="V263" s="10"/>
      <c r="W263" s="10"/>
      <c r="X263" s="10"/>
      <c r="Y263" s="10"/>
      <c r="Z263" s="10"/>
      <c r="AA263" s="34"/>
      <c r="AB263" s="27"/>
      <c r="AC263" s="11"/>
      <c r="AD263" s="11"/>
      <c r="AE263" s="11"/>
      <c r="AF263" s="11"/>
    </row>
    <row r="264" spans="2:32" ht="11.25" customHeight="1" x14ac:dyDescent="0.35">
      <c r="B264" s="24"/>
      <c r="C264" s="7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34"/>
      <c r="R264" s="27"/>
      <c r="S264" s="10"/>
      <c r="T264" s="10"/>
      <c r="U264" s="10"/>
      <c r="V264" s="10"/>
      <c r="W264" s="10"/>
      <c r="X264" s="10"/>
      <c r="Y264" s="10"/>
      <c r="Z264" s="10"/>
      <c r="AA264" s="34"/>
      <c r="AB264" s="27"/>
      <c r="AC264" s="11"/>
      <c r="AD264" s="11"/>
      <c r="AE264" s="11"/>
      <c r="AF264" s="11"/>
    </row>
    <row r="265" spans="2:32" ht="11.25" customHeight="1" x14ac:dyDescent="0.35">
      <c r="B265" s="24"/>
      <c r="C265" s="7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34"/>
      <c r="R265" s="27"/>
      <c r="S265" s="10"/>
      <c r="T265" s="10"/>
      <c r="U265" s="10"/>
      <c r="V265" s="10"/>
      <c r="W265" s="10"/>
      <c r="X265" s="10"/>
      <c r="Y265" s="10"/>
      <c r="Z265" s="10"/>
      <c r="AA265" s="34"/>
      <c r="AB265" s="27"/>
      <c r="AC265" s="11"/>
      <c r="AD265" s="11"/>
      <c r="AE265" s="11"/>
      <c r="AF265" s="11"/>
    </row>
    <row r="266" spans="2:32" ht="11.25" customHeight="1" x14ac:dyDescent="0.35">
      <c r="B266" s="24"/>
      <c r="C266" s="7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34"/>
      <c r="R266" s="27"/>
      <c r="S266" s="10"/>
      <c r="T266" s="10"/>
      <c r="U266" s="10"/>
      <c r="V266" s="10"/>
      <c r="W266" s="10"/>
      <c r="X266" s="10"/>
      <c r="Y266" s="10"/>
      <c r="Z266" s="10"/>
      <c r="AA266" s="34"/>
      <c r="AB266" s="27"/>
      <c r="AC266" s="11"/>
      <c r="AD266" s="11"/>
      <c r="AE266" s="11"/>
      <c r="AF266" s="11"/>
    </row>
    <row r="267" spans="2:32" ht="11.25" customHeight="1" x14ac:dyDescent="0.35">
      <c r="B267" s="24"/>
      <c r="C267" s="7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34"/>
      <c r="R267" s="27"/>
      <c r="S267" s="10"/>
      <c r="T267" s="10"/>
      <c r="U267" s="10"/>
      <c r="V267" s="10"/>
      <c r="W267" s="10"/>
      <c r="X267" s="10"/>
      <c r="Y267" s="10"/>
      <c r="Z267" s="10"/>
      <c r="AA267" s="34"/>
      <c r="AB267" s="27"/>
      <c r="AC267" s="11"/>
      <c r="AD267" s="11"/>
      <c r="AE267" s="11"/>
      <c r="AF267" s="11"/>
    </row>
    <row r="268" spans="2:32" ht="11.25" customHeight="1" x14ac:dyDescent="0.35">
      <c r="B268" s="24"/>
      <c r="C268" s="7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34"/>
      <c r="R268" s="27"/>
      <c r="S268" s="10"/>
      <c r="T268" s="10"/>
      <c r="U268" s="10"/>
      <c r="V268" s="10"/>
      <c r="W268" s="10"/>
      <c r="X268" s="10"/>
      <c r="Y268" s="10"/>
      <c r="Z268" s="10"/>
      <c r="AA268" s="34"/>
      <c r="AB268" s="27"/>
      <c r="AC268" s="11"/>
      <c r="AD268" s="11"/>
      <c r="AE268" s="11"/>
      <c r="AF268" s="11"/>
    </row>
    <row r="269" spans="2:32" ht="11.25" customHeight="1" x14ac:dyDescent="0.35">
      <c r="B269" s="24"/>
      <c r="C269" s="7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34"/>
      <c r="R269" s="27"/>
      <c r="S269" s="10"/>
      <c r="T269" s="10"/>
      <c r="U269" s="10"/>
      <c r="V269" s="10"/>
      <c r="W269" s="10"/>
      <c r="X269" s="10"/>
      <c r="Y269" s="10"/>
      <c r="Z269" s="10"/>
      <c r="AA269" s="34"/>
      <c r="AB269" s="27"/>
      <c r="AC269" s="11"/>
      <c r="AD269" s="11"/>
      <c r="AE269" s="11"/>
      <c r="AF269" s="11"/>
    </row>
    <row r="270" spans="2:32" ht="11.25" customHeight="1" x14ac:dyDescent="0.35">
      <c r="B270" s="24"/>
      <c r="C270" s="7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34"/>
      <c r="R270" s="27"/>
      <c r="S270" s="10"/>
      <c r="T270" s="10"/>
      <c r="U270" s="10"/>
      <c r="V270" s="10"/>
      <c r="W270" s="10"/>
      <c r="X270" s="10"/>
      <c r="Y270" s="10"/>
      <c r="Z270" s="10"/>
      <c r="AA270" s="34"/>
      <c r="AB270" s="27"/>
      <c r="AC270" s="11"/>
      <c r="AD270" s="11"/>
      <c r="AE270" s="11"/>
      <c r="AF270" s="11"/>
    </row>
    <row r="271" spans="2:32" ht="11.25" customHeight="1" x14ac:dyDescent="0.35">
      <c r="B271" s="24"/>
      <c r="C271" s="7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34"/>
      <c r="R271" s="27"/>
      <c r="S271" s="10"/>
      <c r="T271" s="10"/>
      <c r="U271" s="10"/>
      <c r="V271" s="10"/>
      <c r="W271" s="10"/>
      <c r="X271" s="10"/>
      <c r="Y271" s="10"/>
      <c r="Z271" s="10"/>
      <c r="AA271" s="34"/>
      <c r="AB271" s="27"/>
      <c r="AC271" s="11"/>
      <c r="AD271" s="11"/>
      <c r="AE271" s="11"/>
      <c r="AF271" s="11"/>
    </row>
    <row r="272" spans="2:32" ht="11.25" customHeight="1" x14ac:dyDescent="0.35">
      <c r="B272" s="24"/>
      <c r="C272" s="7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34"/>
      <c r="R272" s="27"/>
      <c r="S272" s="10"/>
      <c r="T272" s="10"/>
      <c r="U272" s="10"/>
      <c r="V272" s="10"/>
      <c r="W272" s="10"/>
      <c r="X272" s="10"/>
      <c r="Y272" s="10"/>
      <c r="Z272" s="10"/>
      <c r="AA272" s="34"/>
      <c r="AB272" s="27"/>
      <c r="AC272" s="11"/>
      <c r="AD272" s="11"/>
      <c r="AE272" s="11"/>
      <c r="AF272" s="11"/>
    </row>
    <row r="273" spans="2:32" ht="11.25" customHeight="1" x14ac:dyDescent="0.35">
      <c r="B273" s="24"/>
      <c r="C273" s="7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34"/>
      <c r="R273" s="27"/>
      <c r="S273" s="10"/>
      <c r="T273" s="10"/>
      <c r="U273" s="10"/>
      <c r="V273" s="10"/>
      <c r="W273" s="10"/>
      <c r="X273" s="10"/>
      <c r="Y273" s="10"/>
      <c r="Z273" s="10"/>
      <c r="AA273" s="34"/>
      <c r="AB273" s="27"/>
      <c r="AC273" s="11"/>
      <c r="AD273" s="11"/>
      <c r="AE273" s="11"/>
      <c r="AF273" s="11"/>
    </row>
    <row r="274" spans="2:32" ht="11.25" customHeight="1" x14ac:dyDescent="0.35">
      <c r="B274" s="24"/>
      <c r="C274" s="7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34"/>
      <c r="R274" s="27"/>
      <c r="S274" s="10"/>
      <c r="T274" s="10"/>
      <c r="U274" s="10"/>
      <c r="V274" s="10"/>
      <c r="W274" s="10"/>
      <c r="X274" s="10"/>
      <c r="Y274" s="10"/>
      <c r="Z274" s="10"/>
      <c r="AA274" s="34"/>
      <c r="AB274" s="27"/>
      <c r="AC274" s="11"/>
      <c r="AD274" s="11"/>
      <c r="AE274" s="11"/>
      <c r="AF274" s="11"/>
    </row>
    <row r="275" spans="2:32" ht="11.25" customHeight="1" x14ac:dyDescent="0.35">
      <c r="B275" s="24"/>
      <c r="C275" s="7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34"/>
      <c r="R275" s="27"/>
      <c r="S275" s="10"/>
      <c r="T275" s="10"/>
      <c r="U275" s="10"/>
      <c r="V275" s="10"/>
      <c r="W275" s="10"/>
      <c r="X275" s="10"/>
      <c r="Y275" s="10"/>
      <c r="Z275" s="10"/>
      <c r="AA275" s="34"/>
      <c r="AB275" s="27"/>
      <c r="AC275" s="11"/>
      <c r="AD275" s="11"/>
      <c r="AE275" s="11"/>
      <c r="AF275" s="11"/>
    </row>
    <row r="276" spans="2:32" ht="11.25" customHeight="1" x14ac:dyDescent="0.35">
      <c r="B276" s="24"/>
      <c r="C276" s="7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34"/>
      <c r="R276" s="27"/>
      <c r="S276" s="10"/>
      <c r="T276" s="10"/>
      <c r="U276" s="10"/>
      <c r="V276" s="10"/>
      <c r="W276" s="10"/>
      <c r="X276" s="10"/>
      <c r="Y276" s="10"/>
      <c r="Z276" s="10"/>
      <c r="AA276" s="34"/>
      <c r="AB276" s="27"/>
      <c r="AC276" s="11"/>
      <c r="AD276" s="11"/>
      <c r="AE276" s="11"/>
      <c r="AF276" s="11"/>
    </row>
    <row r="277" spans="2:32" ht="11.25" customHeight="1" x14ac:dyDescent="0.35">
      <c r="B277" s="24"/>
      <c r="C277" s="7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34"/>
      <c r="R277" s="27"/>
      <c r="S277" s="10"/>
      <c r="T277" s="10"/>
      <c r="U277" s="10"/>
      <c r="V277" s="10"/>
      <c r="W277" s="10"/>
      <c r="X277" s="10"/>
      <c r="Y277" s="10"/>
      <c r="Z277" s="10"/>
      <c r="AA277" s="34"/>
      <c r="AB277" s="27"/>
      <c r="AC277" s="11"/>
      <c r="AD277" s="11"/>
      <c r="AE277" s="11"/>
      <c r="AF277" s="11"/>
    </row>
    <row r="278" spans="2:32" ht="11.25" customHeight="1" x14ac:dyDescent="0.35">
      <c r="B278" s="24"/>
      <c r="C278" s="7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34"/>
      <c r="R278" s="27"/>
      <c r="S278" s="10"/>
      <c r="T278" s="10"/>
      <c r="U278" s="10"/>
      <c r="V278" s="10"/>
      <c r="W278" s="10"/>
      <c r="X278" s="10"/>
      <c r="Y278" s="10"/>
      <c r="Z278" s="10"/>
      <c r="AA278" s="34"/>
      <c r="AB278" s="27"/>
      <c r="AC278" s="11"/>
      <c r="AD278" s="11"/>
      <c r="AE278" s="11"/>
      <c r="AF278" s="11"/>
    </row>
    <row r="279" spans="2:32" ht="11.25" customHeight="1" x14ac:dyDescent="0.35">
      <c r="B279" s="24"/>
      <c r="C279" s="7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34"/>
      <c r="R279" s="27"/>
      <c r="S279" s="10"/>
      <c r="T279" s="10"/>
      <c r="U279" s="10"/>
      <c r="V279" s="10"/>
      <c r="W279" s="10"/>
      <c r="X279" s="10"/>
      <c r="Y279" s="10"/>
      <c r="Z279" s="10"/>
      <c r="AA279" s="34"/>
      <c r="AB279" s="27"/>
      <c r="AC279" s="11"/>
      <c r="AD279" s="11"/>
      <c r="AE279" s="11"/>
      <c r="AF279" s="11"/>
    </row>
    <row r="280" spans="2:32" ht="11.25" customHeight="1" x14ac:dyDescent="0.35">
      <c r="B280" s="24"/>
      <c r="C280" s="7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34"/>
      <c r="R280" s="27"/>
      <c r="S280" s="10"/>
      <c r="T280" s="10"/>
      <c r="U280" s="10"/>
      <c r="V280" s="10"/>
      <c r="W280" s="10"/>
      <c r="X280" s="10"/>
      <c r="Y280" s="10"/>
      <c r="Z280" s="10"/>
      <c r="AA280" s="34"/>
      <c r="AB280" s="27"/>
      <c r="AC280" s="11"/>
      <c r="AD280" s="11"/>
      <c r="AE280" s="11"/>
      <c r="AF280" s="11"/>
    </row>
    <row r="281" spans="2:32" ht="11.25" customHeight="1" x14ac:dyDescent="0.35">
      <c r="B281" s="24"/>
      <c r="C281" s="7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34"/>
      <c r="R281" s="27"/>
      <c r="S281" s="10"/>
      <c r="T281" s="10"/>
      <c r="U281" s="10"/>
      <c r="V281" s="10"/>
      <c r="W281" s="10"/>
      <c r="X281" s="10"/>
      <c r="Y281" s="10"/>
      <c r="Z281" s="10"/>
      <c r="AA281" s="34"/>
      <c r="AB281" s="27"/>
      <c r="AC281" s="11"/>
      <c r="AD281" s="11"/>
      <c r="AE281" s="11"/>
      <c r="AF281" s="11"/>
    </row>
    <row r="282" spans="2:32" ht="11.25" customHeight="1" x14ac:dyDescent="0.35">
      <c r="B282" s="24"/>
      <c r="C282" s="7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34"/>
      <c r="R282" s="27"/>
      <c r="S282" s="10"/>
      <c r="T282" s="10"/>
      <c r="U282" s="10"/>
      <c r="V282" s="10"/>
      <c r="W282" s="10"/>
      <c r="X282" s="10"/>
      <c r="Y282" s="10"/>
      <c r="Z282" s="10"/>
      <c r="AA282" s="34"/>
      <c r="AB282" s="27"/>
      <c r="AC282" s="11"/>
      <c r="AD282" s="11"/>
      <c r="AE282" s="11"/>
      <c r="AF282" s="11"/>
    </row>
    <row r="283" spans="2:32" ht="11.25" customHeight="1" x14ac:dyDescent="0.35">
      <c r="B283" s="24"/>
      <c r="C283" s="7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34"/>
      <c r="R283" s="27"/>
      <c r="S283" s="10"/>
      <c r="T283" s="10"/>
      <c r="U283" s="10"/>
      <c r="V283" s="10"/>
      <c r="W283" s="10"/>
      <c r="X283" s="10"/>
      <c r="Y283" s="10"/>
      <c r="Z283" s="10"/>
      <c r="AA283" s="34"/>
      <c r="AB283" s="27"/>
      <c r="AC283" s="11"/>
      <c r="AD283" s="11"/>
      <c r="AE283" s="11"/>
      <c r="AF283" s="11"/>
    </row>
    <row r="284" spans="2:32" ht="11.25" customHeight="1" x14ac:dyDescent="0.35">
      <c r="B284" s="24"/>
      <c r="C284" s="7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34"/>
      <c r="R284" s="27"/>
      <c r="S284" s="10"/>
      <c r="T284" s="10"/>
      <c r="U284" s="10"/>
      <c r="V284" s="10"/>
      <c r="W284" s="10"/>
      <c r="X284" s="10"/>
      <c r="Y284" s="10"/>
      <c r="Z284" s="10"/>
      <c r="AA284" s="34"/>
      <c r="AB284" s="27"/>
      <c r="AC284" s="11"/>
      <c r="AD284" s="11"/>
      <c r="AE284" s="11"/>
      <c r="AF284" s="11"/>
    </row>
    <row r="285" spans="2:32" ht="11.25" customHeight="1" x14ac:dyDescent="0.35">
      <c r="B285" s="24"/>
      <c r="C285" s="7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34"/>
      <c r="R285" s="27"/>
      <c r="S285" s="10"/>
      <c r="T285" s="10"/>
      <c r="U285" s="10"/>
      <c r="V285" s="10"/>
      <c r="W285" s="10"/>
      <c r="X285" s="10"/>
      <c r="Y285" s="10"/>
      <c r="Z285" s="10"/>
      <c r="AA285" s="34"/>
      <c r="AB285" s="27"/>
      <c r="AC285" s="11"/>
      <c r="AD285" s="11"/>
      <c r="AE285" s="11"/>
      <c r="AF285" s="11"/>
    </row>
    <row r="286" spans="2:32" ht="11.25" customHeight="1" x14ac:dyDescent="0.35">
      <c r="B286" s="24"/>
      <c r="C286" s="7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34"/>
      <c r="R286" s="27"/>
      <c r="S286" s="10"/>
      <c r="T286" s="10"/>
      <c r="U286" s="10"/>
      <c r="V286" s="10"/>
      <c r="W286" s="10"/>
      <c r="X286" s="10"/>
      <c r="Y286" s="10"/>
      <c r="Z286" s="10"/>
      <c r="AA286" s="34"/>
      <c r="AB286" s="27"/>
      <c r="AC286" s="11"/>
      <c r="AD286" s="11"/>
      <c r="AE286" s="11"/>
      <c r="AF286" s="11"/>
    </row>
    <row r="287" spans="2:32" ht="11.25" customHeight="1" x14ac:dyDescent="0.35">
      <c r="B287" s="24"/>
      <c r="C287" s="7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34"/>
      <c r="R287" s="27"/>
      <c r="S287" s="10"/>
      <c r="T287" s="10"/>
      <c r="U287" s="10"/>
      <c r="V287" s="10"/>
      <c r="W287" s="10"/>
      <c r="X287" s="10"/>
      <c r="Y287" s="10"/>
      <c r="Z287" s="10"/>
      <c r="AA287" s="34"/>
      <c r="AB287" s="27"/>
      <c r="AC287" s="11"/>
      <c r="AD287" s="11"/>
      <c r="AE287" s="11"/>
      <c r="AF287" s="11"/>
    </row>
    <row r="288" spans="2:32" ht="11.25" customHeight="1" x14ac:dyDescent="0.35">
      <c r="B288" s="24"/>
      <c r="C288" s="7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34"/>
      <c r="R288" s="27"/>
      <c r="S288" s="10"/>
      <c r="T288" s="10"/>
      <c r="U288" s="10"/>
      <c r="V288" s="10"/>
      <c r="W288" s="10"/>
      <c r="X288" s="10"/>
      <c r="Y288" s="10"/>
      <c r="Z288" s="10"/>
      <c r="AA288" s="34"/>
      <c r="AB288" s="27"/>
      <c r="AC288" s="11"/>
      <c r="AD288" s="11"/>
      <c r="AE288" s="11"/>
      <c r="AF288" s="11"/>
    </row>
    <row r="289" spans="2:32" ht="11.25" customHeight="1" x14ac:dyDescent="0.35">
      <c r="B289" s="24"/>
      <c r="C289" s="7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34"/>
      <c r="R289" s="27"/>
      <c r="S289" s="10"/>
      <c r="T289" s="10"/>
      <c r="U289" s="10"/>
      <c r="V289" s="10"/>
      <c r="W289" s="10"/>
      <c r="X289" s="10"/>
      <c r="Y289" s="10"/>
      <c r="Z289" s="10"/>
      <c r="AA289" s="34"/>
      <c r="AB289" s="27"/>
      <c r="AC289" s="11"/>
      <c r="AD289" s="11"/>
      <c r="AE289" s="11"/>
      <c r="AF289" s="11"/>
    </row>
    <row r="290" spans="2:32" ht="11.25" customHeight="1" x14ac:dyDescent="0.35">
      <c r="B290" s="24"/>
      <c r="C290" s="7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34"/>
      <c r="R290" s="27"/>
      <c r="S290" s="10"/>
      <c r="T290" s="10"/>
      <c r="U290" s="10"/>
      <c r="V290" s="10"/>
      <c r="W290" s="10"/>
      <c r="X290" s="10"/>
      <c r="Y290" s="10"/>
      <c r="Z290" s="10"/>
      <c r="AA290" s="34"/>
      <c r="AB290" s="27"/>
      <c r="AC290" s="11"/>
      <c r="AD290" s="11"/>
      <c r="AE290" s="11"/>
      <c r="AF290" s="11"/>
    </row>
    <row r="291" spans="2:32" ht="11.25" customHeight="1" x14ac:dyDescent="0.35">
      <c r="B291" s="24"/>
      <c r="C291" s="7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34"/>
      <c r="R291" s="27"/>
      <c r="S291" s="10"/>
      <c r="T291" s="10"/>
      <c r="U291" s="10"/>
      <c r="V291" s="10"/>
      <c r="W291" s="10"/>
      <c r="X291" s="10"/>
      <c r="Y291" s="10"/>
      <c r="Z291" s="10"/>
      <c r="AA291" s="34"/>
      <c r="AB291" s="27"/>
      <c r="AC291" s="11"/>
      <c r="AD291" s="11"/>
      <c r="AE291" s="11"/>
      <c r="AF291" s="11"/>
    </row>
    <row r="292" spans="2:32" ht="11.25" customHeight="1" x14ac:dyDescent="0.35">
      <c r="B292" s="24"/>
      <c r="C292" s="7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34"/>
      <c r="R292" s="27"/>
      <c r="S292" s="10"/>
      <c r="T292" s="10"/>
      <c r="U292" s="10"/>
      <c r="V292" s="10"/>
      <c r="W292" s="10"/>
      <c r="X292" s="10"/>
      <c r="Y292" s="10"/>
      <c r="Z292" s="10"/>
      <c r="AA292" s="34"/>
      <c r="AB292" s="27"/>
      <c r="AC292" s="11"/>
      <c r="AD292" s="11"/>
      <c r="AE292" s="11"/>
      <c r="AF292" s="11"/>
    </row>
    <row r="293" spans="2:32" ht="11.25" customHeight="1" x14ac:dyDescent="0.35">
      <c r="B293" s="24"/>
      <c r="C293" s="7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34"/>
      <c r="R293" s="27"/>
      <c r="S293" s="10"/>
      <c r="T293" s="10"/>
      <c r="U293" s="10"/>
      <c r="V293" s="10"/>
      <c r="W293" s="10"/>
      <c r="X293" s="10"/>
      <c r="Y293" s="10"/>
      <c r="Z293" s="10"/>
      <c r="AA293" s="34"/>
      <c r="AB293" s="27"/>
      <c r="AC293" s="11"/>
      <c r="AD293" s="11"/>
      <c r="AE293" s="11"/>
      <c r="AF293" s="11"/>
    </row>
    <row r="294" spans="2:32" ht="11.25" customHeight="1" x14ac:dyDescent="0.35">
      <c r="B294" s="24"/>
      <c r="C294" s="7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34"/>
      <c r="R294" s="27"/>
      <c r="S294" s="10"/>
      <c r="T294" s="10"/>
      <c r="U294" s="10"/>
      <c r="V294" s="10"/>
      <c r="W294" s="10"/>
      <c r="X294" s="10"/>
      <c r="Y294" s="10"/>
      <c r="Z294" s="10"/>
      <c r="AA294" s="34"/>
      <c r="AB294" s="27"/>
      <c r="AC294" s="11"/>
      <c r="AD294" s="11"/>
      <c r="AE294" s="11"/>
      <c r="AF294" s="11"/>
    </row>
    <row r="295" spans="2:32" ht="11.25" customHeight="1" x14ac:dyDescent="0.35">
      <c r="B295" s="24"/>
      <c r="C295" s="7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34"/>
      <c r="R295" s="27"/>
      <c r="S295" s="10"/>
      <c r="T295" s="10"/>
      <c r="U295" s="10"/>
      <c r="V295" s="10"/>
      <c r="W295" s="10"/>
      <c r="X295" s="10"/>
      <c r="Y295" s="10"/>
      <c r="Z295" s="10"/>
      <c r="AA295" s="34"/>
      <c r="AB295" s="27"/>
      <c r="AC295" s="11"/>
      <c r="AD295" s="11"/>
      <c r="AE295" s="11"/>
      <c r="AF295" s="11"/>
    </row>
    <row r="296" spans="2:32" ht="11.25" customHeight="1" x14ac:dyDescent="0.35">
      <c r="B296" s="24"/>
      <c r="C296" s="7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34"/>
      <c r="R296" s="27"/>
      <c r="S296" s="10"/>
      <c r="T296" s="10"/>
      <c r="U296" s="10"/>
      <c r="V296" s="10"/>
      <c r="W296" s="10"/>
      <c r="X296" s="10"/>
      <c r="Y296" s="10"/>
      <c r="Z296" s="10"/>
      <c r="AA296" s="34"/>
      <c r="AB296" s="27"/>
      <c r="AC296" s="11"/>
      <c r="AD296" s="11"/>
      <c r="AE296" s="11"/>
      <c r="AF296" s="11"/>
    </row>
    <row r="297" spans="2:32" ht="11.25" customHeight="1" x14ac:dyDescent="0.35">
      <c r="B297" s="24"/>
      <c r="C297" s="7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34"/>
      <c r="R297" s="27"/>
      <c r="S297" s="10"/>
      <c r="T297" s="10"/>
      <c r="U297" s="10"/>
      <c r="V297" s="10"/>
      <c r="W297" s="10"/>
      <c r="X297" s="10"/>
      <c r="Y297" s="10"/>
      <c r="Z297" s="10"/>
      <c r="AA297" s="34"/>
      <c r="AB297" s="27"/>
      <c r="AC297" s="11"/>
      <c r="AD297" s="11"/>
      <c r="AE297" s="11"/>
      <c r="AF297" s="11"/>
    </row>
    <row r="298" spans="2:32" ht="11.25" customHeight="1" x14ac:dyDescent="0.35">
      <c r="B298" s="24"/>
      <c r="C298" s="7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34"/>
      <c r="R298" s="27"/>
      <c r="S298" s="10"/>
      <c r="T298" s="10"/>
      <c r="U298" s="10"/>
      <c r="V298" s="10"/>
      <c r="W298" s="10"/>
      <c r="X298" s="10"/>
      <c r="Y298" s="10"/>
      <c r="Z298" s="10"/>
      <c r="AA298" s="34"/>
      <c r="AB298" s="27"/>
      <c r="AC298" s="11"/>
      <c r="AD298" s="11"/>
      <c r="AE298" s="11"/>
      <c r="AF298" s="11"/>
    </row>
    <row r="299" spans="2:32" ht="11.25" customHeight="1" x14ac:dyDescent="0.35">
      <c r="B299" s="24"/>
      <c r="C299" s="7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34"/>
      <c r="R299" s="27"/>
      <c r="S299" s="10"/>
      <c r="T299" s="10"/>
      <c r="U299" s="10"/>
      <c r="V299" s="10"/>
      <c r="W299" s="10"/>
      <c r="X299" s="10"/>
      <c r="Y299" s="10"/>
      <c r="Z299" s="10"/>
      <c r="AA299" s="34"/>
      <c r="AB299" s="27"/>
      <c r="AC299" s="11"/>
      <c r="AD299" s="11"/>
      <c r="AE299" s="11"/>
      <c r="AF299" s="11"/>
    </row>
    <row r="300" spans="2:32" ht="11.25" customHeight="1" x14ac:dyDescent="0.35">
      <c r="B300" s="24"/>
      <c r="C300" s="7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34"/>
      <c r="R300" s="27"/>
      <c r="S300" s="10"/>
      <c r="T300" s="10"/>
      <c r="U300" s="10"/>
      <c r="V300" s="10"/>
      <c r="W300" s="10"/>
      <c r="X300" s="10"/>
      <c r="Y300" s="10"/>
      <c r="Z300" s="10"/>
      <c r="AA300" s="34"/>
      <c r="AB300" s="27"/>
      <c r="AC300" s="11"/>
      <c r="AD300" s="11"/>
      <c r="AE300" s="11"/>
      <c r="AF300" s="11"/>
    </row>
    <row r="301" spans="2:32" ht="11.25" customHeight="1" x14ac:dyDescent="0.35">
      <c r="B301" s="24"/>
      <c r="C301" s="7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34"/>
      <c r="R301" s="27"/>
      <c r="S301" s="10"/>
      <c r="T301" s="10"/>
      <c r="U301" s="10"/>
      <c r="V301" s="10"/>
      <c r="W301" s="10"/>
      <c r="X301" s="10"/>
      <c r="Y301" s="10"/>
      <c r="Z301" s="10"/>
      <c r="AA301" s="34"/>
      <c r="AB301" s="27"/>
      <c r="AC301" s="11"/>
      <c r="AD301" s="11"/>
      <c r="AE301" s="11"/>
      <c r="AF301" s="11"/>
    </row>
    <row r="302" spans="2:32" ht="11.25" customHeight="1" x14ac:dyDescent="0.35">
      <c r="B302" s="24"/>
      <c r="C302" s="7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34"/>
      <c r="R302" s="27"/>
      <c r="S302" s="10"/>
      <c r="T302" s="10"/>
      <c r="U302" s="10"/>
      <c r="V302" s="10"/>
      <c r="W302" s="10"/>
      <c r="X302" s="10"/>
      <c r="Y302" s="10"/>
      <c r="Z302" s="10"/>
      <c r="AA302" s="34"/>
      <c r="AB302" s="27"/>
      <c r="AC302" s="11"/>
      <c r="AD302" s="11"/>
      <c r="AE302" s="11"/>
      <c r="AF302" s="11"/>
    </row>
    <row r="303" spans="2:32" ht="11.25" customHeight="1" x14ac:dyDescent="0.35">
      <c r="B303" s="24"/>
      <c r="C303" s="7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34"/>
      <c r="R303" s="27"/>
      <c r="S303" s="10"/>
      <c r="T303" s="10"/>
      <c r="U303" s="10"/>
      <c r="V303" s="10"/>
      <c r="W303" s="10"/>
      <c r="X303" s="10"/>
      <c r="Y303" s="10"/>
      <c r="Z303" s="10"/>
      <c r="AA303" s="34"/>
      <c r="AB303" s="27"/>
      <c r="AC303" s="11"/>
      <c r="AD303" s="11"/>
      <c r="AE303" s="11"/>
      <c r="AF303" s="11"/>
    </row>
    <row r="304" spans="2:32" ht="11.25" customHeight="1" x14ac:dyDescent="0.35">
      <c r="B304" s="24"/>
      <c r="C304" s="7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34"/>
      <c r="R304" s="27"/>
      <c r="S304" s="10"/>
      <c r="T304" s="10"/>
      <c r="U304" s="10"/>
      <c r="V304" s="10"/>
      <c r="W304" s="10"/>
      <c r="X304" s="10"/>
      <c r="Y304" s="10"/>
      <c r="Z304" s="10"/>
      <c r="AA304" s="34"/>
      <c r="AB304" s="27"/>
      <c r="AC304" s="11"/>
      <c r="AD304" s="11"/>
      <c r="AE304" s="11"/>
      <c r="AF304" s="11"/>
    </row>
    <row r="305" spans="2:32" ht="11.25" customHeight="1" x14ac:dyDescent="0.35">
      <c r="B305" s="24"/>
      <c r="C305" s="7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34"/>
      <c r="R305" s="27"/>
      <c r="S305" s="10"/>
      <c r="T305" s="10"/>
      <c r="U305" s="10"/>
      <c r="V305" s="10"/>
      <c r="W305" s="10"/>
      <c r="X305" s="10"/>
      <c r="Y305" s="10"/>
      <c r="Z305" s="10"/>
      <c r="AA305" s="34"/>
      <c r="AB305" s="27"/>
      <c r="AC305" s="11"/>
      <c r="AD305" s="11"/>
      <c r="AE305" s="11"/>
      <c r="AF305" s="11"/>
    </row>
    <row r="306" spans="2:32" ht="11.25" customHeight="1" x14ac:dyDescent="0.35">
      <c r="B306" s="24"/>
      <c r="C306" s="7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34"/>
      <c r="R306" s="27"/>
      <c r="S306" s="10"/>
      <c r="T306" s="10"/>
      <c r="U306" s="10"/>
      <c r="V306" s="10"/>
      <c r="W306" s="10"/>
      <c r="X306" s="10"/>
      <c r="Y306" s="10"/>
      <c r="Z306" s="10"/>
      <c r="AA306" s="34"/>
      <c r="AB306" s="27"/>
      <c r="AC306" s="11"/>
      <c r="AD306" s="11"/>
      <c r="AE306" s="11"/>
      <c r="AF306" s="11"/>
    </row>
    <row r="307" spans="2:32" ht="11.25" customHeight="1" x14ac:dyDescent="0.35">
      <c r="B307" s="24"/>
      <c r="C307" s="7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34"/>
      <c r="R307" s="27"/>
      <c r="S307" s="10"/>
      <c r="T307" s="10"/>
      <c r="U307" s="10"/>
      <c r="V307" s="10"/>
      <c r="W307" s="10"/>
      <c r="X307" s="10"/>
      <c r="Y307" s="10"/>
      <c r="Z307" s="10"/>
      <c r="AA307" s="34"/>
      <c r="AB307" s="27"/>
      <c r="AC307" s="11"/>
      <c r="AD307" s="11"/>
      <c r="AE307" s="11"/>
      <c r="AF307" s="11"/>
    </row>
    <row r="308" spans="2:32" ht="11.25" customHeight="1" x14ac:dyDescent="0.35">
      <c r="B308" s="24"/>
      <c r="C308" s="7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34"/>
      <c r="R308" s="27"/>
      <c r="S308" s="10"/>
      <c r="T308" s="10"/>
      <c r="U308" s="10"/>
      <c r="V308" s="10"/>
      <c r="W308" s="10"/>
      <c r="X308" s="10"/>
      <c r="Y308" s="10"/>
      <c r="Z308" s="10"/>
      <c r="AA308" s="34"/>
      <c r="AB308" s="27"/>
      <c r="AC308" s="11"/>
      <c r="AD308" s="11"/>
      <c r="AE308" s="11"/>
      <c r="AF308" s="11"/>
    </row>
    <row r="309" spans="2:32" ht="11.25" customHeight="1" x14ac:dyDescent="0.35">
      <c r="B309" s="24"/>
      <c r="C309" s="7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34"/>
      <c r="R309" s="27"/>
      <c r="S309" s="10"/>
      <c r="T309" s="10"/>
      <c r="U309" s="10"/>
      <c r="V309" s="10"/>
      <c r="W309" s="10"/>
      <c r="X309" s="10"/>
      <c r="Y309" s="10"/>
      <c r="Z309" s="10"/>
      <c r="AA309" s="34"/>
      <c r="AB309" s="27"/>
      <c r="AC309" s="11"/>
      <c r="AD309" s="11"/>
      <c r="AE309" s="11"/>
      <c r="AF309" s="11"/>
    </row>
    <row r="310" spans="2:32" ht="11.25" customHeight="1" x14ac:dyDescent="0.35">
      <c r="B310" s="24"/>
      <c r="C310" s="7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34"/>
      <c r="R310" s="27"/>
      <c r="S310" s="10"/>
      <c r="T310" s="10"/>
      <c r="U310" s="10"/>
      <c r="V310" s="10"/>
      <c r="W310" s="10"/>
      <c r="X310" s="10"/>
      <c r="Y310" s="10"/>
      <c r="Z310" s="10"/>
      <c r="AA310" s="34"/>
      <c r="AB310" s="27"/>
      <c r="AC310" s="11"/>
      <c r="AD310" s="11"/>
      <c r="AE310" s="11"/>
      <c r="AF310" s="11"/>
    </row>
    <row r="311" spans="2:32" ht="11.25" customHeight="1" x14ac:dyDescent="0.35">
      <c r="B311" s="24"/>
      <c r="C311" s="7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34"/>
      <c r="R311" s="27"/>
      <c r="S311" s="10"/>
      <c r="T311" s="10"/>
      <c r="U311" s="10"/>
      <c r="V311" s="10"/>
      <c r="W311" s="10"/>
      <c r="X311" s="10"/>
      <c r="Y311" s="10"/>
      <c r="Z311" s="10"/>
      <c r="AA311" s="34"/>
      <c r="AB311" s="27"/>
      <c r="AC311" s="11"/>
      <c r="AD311" s="11"/>
      <c r="AE311" s="11"/>
      <c r="AF311" s="11"/>
    </row>
    <row r="312" spans="2:32" ht="11.25" customHeight="1" x14ac:dyDescent="0.35">
      <c r="B312" s="24"/>
      <c r="C312" s="7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34"/>
      <c r="R312" s="27"/>
      <c r="S312" s="10"/>
      <c r="T312" s="10"/>
      <c r="U312" s="10"/>
      <c r="V312" s="10"/>
      <c r="W312" s="10"/>
      <c r="X312" s="10"/>
      <c r="Y312" s="10"/>
      <c r="Z312" s="10"/>
      <c r="AA312" s="34"/>
      <c r="AB312" s="27"/>
      <c r="AC312" s="11"/>
      <c r="AD312" s="11"/>
      <c r="AE312" s="11"/>
      <c r="AF312" s="11"/>
    </row>
    <row r="313" spans="2:32" ht="11.25" customHeight="1" x14ac:dyDescent="0.35">
      <c r="B313" s="24"/>
      <c r="C313" s="7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34"/>
      <c r="R313" s="27"/>
      <c r="S313" s="10"/>
      <c r="T313" s="10"/>
      <c r="U313" s="10"/>
      <c r="V313" s="10"/>
      <c r="W313" s="10"/>
      <c r="X313" s="10"/>
      <c r="Y313" s="10"/>
      <c r="Z313" s="10"/>
      <c r="AA313" s="34"/>
      <c r="AB313" s="27"/>
      <c r="AC313" s="11"/>
      <c r="AD313" s="11"/>
      <c r="AE313" s="11"/>
      <c r="AF313" s="11"/>
    </row>
    <row r="314" spans="2:32" ht="11.25" customHeight="1" x14ac:dyDescent="0.35">
      <c r="B314" s="24"/>
      <c r="C314" s="7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34"/>
      <c r="R314" s="27"/>
      <c r="S314" s="10"/>
      <c r="T314" s="10"/>
      <c r="U314" s="10"/>
      <c r="V314" s="10"/>
      <c r="W314" s="10"/>
      <c r="X314" s="10"/>
      <c r="Y314" s="10"/>
      <c r="Z314" s="10"/>
      <c r="AA314" s="34"/>
      <c r="AB314" s="27"/>
      <c r="AC314" s="11"/>
      <c r="AD314" s="11"/>
      <c r="AE314" s="11"/>
      <c r="AF314" s="11"/>
    </row>
    <row r="315" spans="2:32" ht="11.25" customHeight="1" x14ac:dyDescent="0.35">
      <c r="B315" s="24"/>
      <c r="C315" s="7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34"/>
      <c r="R315" s="27"/>
      <c r="S315" s="10"/>
      <c r="T315" s="10"/>
      <c r="U315" s="10"/>
      <c r="V315" s="10"/>
      <c r="W315" s="10"/>
      <c r="X315" s="10"/>
      <c r="Y315" s="10"/>
      <c r="Z315" s="10"/>
      <c r="AA315" s="34"/>
      <c r="AB315" s="27"/>
      <c r="AC315" s="11"/>
      <c r="AD315" s="11"/>
      <c r="AE315" s="11"/>
      <c r="AF315" s="11"/>
    </row>
    <row r="316" spans="2:32" ht="11.25" customHeight="1" x14ac:dyDescent="0.35">
      <c r="B316" s="24"/>
      <c r="C316" s="7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34"/>
      <c r="R316" s="27"/>
      <c r="S316" s="10"/>
      <c r="T316" s="10"/>
      <c r="U316" s="10"/>
      <c r="V316" s="10"/>
      <c r="W316" s="10"/>
      <c r="X316" s="10"/>
      <c r="Y316" s="10"/>
      <c r="Z316" s="10"/>
      <c r="AA316" s="34"/>
      <c r="AB316" s="27"/>
      <c r="AC316" s="11"/>
      <c r="AD316" s="11"/>
      <c r="AE316" s="11"/>
      <c r="AF316" s="11"/>
    </row>
    <row r="317" spans="2:32" ht="11.25" customHeight="1" x14ac:dyDescent="0.35">
      <c r="B317" s="24"/>
      <c r="C317" s="7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34"/>
      <c r="R317" s="27"/>
      <c r="S317" s="10"/>
      <c r="T317" s="10"/>
      <c r="U317" s="10"/>
      <c r="V317" s="10"/>
      <c r="W317" s="10"/>
      <c r="X317" s="10"/>
      <c r="Y317" s="10"/>
      <c r="Z317" s="10"/>
      <c r="AA317" s="34"/>
      <c r="AB317" s="27"/>
      <c r="AC317" s="11"/>
      <c r="AD317" s="11"/>
      <c r="AE317" s="11"/>
      <c r="AF317" s="11"/>
    </row>
    <row r="318" spans="2:32" ht="11.25" customHeight="1" x14ac:dyDescent="0.35">
      <c r="B318" s="24"/>
      <c r="C318" s="7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34"/>
      <c r="R318" s="27"/>
      <c r="S318" s="10"/>
      <c r="T318" s="10"/>
      <c r="U318" s="10"/>
      <c r="V318" s="10"/>
      <c r="W318" s="10"/>
      <c r="X318" s="10"/>
      <c r="Y318" s="10"/>
      <c r="Z318" s="10"/>
      <c r="AA318" s="34"/>
      <c r="AB318" s="27"/>
      <c r="AC318" s="11"/>
      <c r="AD318" s="11"/>
      <c r="AE318" s="11"/>
      <c r="AF318" s="11"/>
    </row>
    <row r="319" spans="2:32" ht="11.25" customHeight="1" x14ac:dyDescent="0.35">
      <c r="B319" s="24"/>
      <c r="C319" s="7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34"/>
      <c r="R319" s="27"/>
      <c r="S319" s="10"/>
      <c r="T319" s="10"/>
      <c r="U319" s="10"/>
      <c r="V319" s="10"/>
      <c r="W319" s="10"/>
      <c r="X319" s="10"/>
      <c r="Y319" s="10"/>
      <c r="Z319" s="10"/>
      <c r="AA319" s="34"/>
      <c r="AB319" s="27"/>
      <c r="AC319" s="11"/>
      <c r="AD319" s="11"/>
      <c r="AE319" s="11"/>
      <c r="AF319" s="11"/>
    </row>
    <row r="320" spans="2:32" ht="11.25" customHeight="1" x14ac:dyDescent="0.35">
      <c r="B320" s="24"/>
      <c r="C320" s="7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34"/>
      <c r="R320" s="27"/>
      <c r="S320" s="10"/>
      <c r="T320" s="10"/>
      <c r="U320" s="10"/>
      <c r="V320" s="10"/>
      <c r="W320" s="10"/>
      <c r="X320" s="10"/>
      <c r="Y320" s="10"/>
      <c r="Z320" s="10"/>
      <c r="AA320" s="34"/>
      <c r="AB320" s="27"/>
      <c r="AC320" s="11"/>
      <c r="AD320" s="11"/>
      <c r="AE320" s="11"/>
      <c r="AF320" s="11"/>
    </row>
    <row r="321" spans="2:32" ht="11.25" customHeight="1" x14ac:dyDescent="0.35">
      <c r="B321" s="24"/>
      <c r="C321" s="7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34"/>
      <c r="R321" s="27"/>
      <c r="S321" s="10"/>
      <c r="T321" s="10"/>
      <c r="U321" s="10"/>
      <c r="V321" s="10"/>
      <c r="W321" s="10"/>
      <c r="X321" s="10"/>
      <c r="Y321" s="10"/>
      <c r="Z321" s="10"/>
      <c r="AA321" s="34"/>
      <c r="AB321" s="27"/>
      <c r="AC321" s="11"/>
      <c r="AD321" s="11"/>
      <c r="AE321" s="11"/>
      <c r="AF321" s="11"/>
    </row>
    <row r="322" spans="2:32" ht="11.25" customHeight="1" x14ac:dyDescent="0.35">
      <c r="B322" s="24"/>
      <c r="C322" s="7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34"/>
      <c r="R322" s="27"/>
      <c r="S322" s="10"/>
      <c r="T322" s="10"/>
      <c r="U322" s="10"/>
      <c r="V322" s="10"/>
      <c r="W322" s="10"/>
      <c r="X322" s="10"/>
      <c r="Y322" s="10"/>
      <c r="Z322" s="10"/>
      <c r="AA322" s="34"/>
      <c r="AB322" s="27"/>
      <c r="AC322" s="11"/>
      <c r="AD322" s="11"/>
      <c r="AE322" s="11"/>
      <c r="AF322" s="11"/>
    </row>
    <row r="323" spans="2:32" ht="11.25" customHeight="1" x14ac:dyDescent="0.35">
      <c r="B323" s="24"/>
      <c r="C323" s="7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34"/>
      <c r="R323" s="27"/>
      <c r="S323" s="10"/>
      <c r="T323" s="10"/>
      <c r="U323" s="10"/>
      <c r="V323" s="10"/>
      <c r="W323" s="10"/>
      <c r="X323" s="10"/>
      <c r="Y323" s="10"/>
      <c r="Z323" s="10"/>
      <c r="AA323" s="34"/>
      <c r="AB323" s="27"/>
      <c r="AC323" s="11"/>
      <c r="AD323" s="11"/>
      <c r="AE323" s="11"/>
      <c r="AF323" s="11"/>
    </row>
    <row r="324" spans="2:32" ht="11.25" customHeight="1" x14ac:dyDescent="0.35">
      <c r="B324" s="24"/>
      <c r="C324" s="7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34"/>
      <c r="R324" s="27"/>
      <c r="S324" s="10"/>
      <c r="T324" s="10"/>
      <c r="U324" s="10"/>
      <c r="V324" s="10"/>
      <c r="W324" s="10"/>
      <c r="X324" s="10"/>
      <c r="Y324" s="10"/>
      <c r="Z324" s="10"/>
      <c r="AA324" s="34"/>
      <c r="AB324" s="27"/>
      <c r="AC324" s="11"/>
      <c r="AD324" s="11"/>
      <c r="AE324" s="11"/>
      <c r="AF324" s="11"/>
    </row>
    <row r="325" spans="2:32" ht="11.25" customHeight="1" x14ac:dyDescent="0.35">
      <c r="B325" s="24"/>
      <c r="C325" s="7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34"/>
      <c r="R325" s="27"/>
      <c r="S325" s="10"/>
      <c r="T325" s="10"/>
      <c r="U325" s="10"/>
      <c r="V325" s="10"/>
      <c r="W325" s="10"/>
      <c r="X325" s="10"/>
      <c r="Y325" s="10"/>
      <c r="Z325" s="10"/>
      <c r="AA325" s="34"/>
      <c r="AB325" s="27"/>
      <c r="AC325" s="11"/>
      <c r="AD325" s="11"/>
      <c r="AE325" s="11"/>
      <c r="AF325" s="11"/>
    </row>
    <row r="326" spans="2:32" ht="11.25" customHeight="1" x14ac:dyDescent="0.35">
      <c r="B326" s="24"/>
      <c r="C326" s="7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34"/>
      <c r="R326" s="27"/>
      <c r="S326" s="10"/>
      <c r="T326" s="10"/>
      <c r="U326" s="10"/>
      <c r="V326" s="10"/>
      <c r="W326" s="10"/>
      <c r="X326" s="10"/>
      <c r="Y326" s="10"/>
      <c r="Z326" s="10"/>
      <c r="AA326" s="34"/>
      <c r="AB326" s="27"/>
      <c r="AC326" s="11"/>
      <c r="AD326" s="11"/>
      <c r="AE326" s="11"/>
      <c r="AF326" s="11"/>
    </row>
    <row r="327" spans="2:32" ht="11.25" customHeight="1" x14ac:dyDescent="0.35">
      <c r="B327" s="24"/>
      <c r="C327" s="7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34"/>
      <c r="R327" s="27"/>
      <c r="S327" s="10"/>
      <c r="T327" s="10"/>
      <c r="U327" s="10"/>
      <c r="V327" s="10"/>
      <c r="W327" s="10"/>
      <c r="X327" s="10"/>
      <c r="Y327" s="10"/>
      <c r="Z327" s="10"/>
      <c r="AA327" s="34"/>
      <c r="AB327" s="27"/>
      <c r="AC327" s="11"/>
      <c r="AD327" s="11"/>
      <c r="AE327" s="11"/>
      <c r="AF327" s="11"/>
    </row>
    <row r="328" spans="2:32" ht="11.25" customHeight="1" x14ac:dyDescent="0.35">
      <c r="B328" s="24"/>
      <c r="C328" s="7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34"/>
      <c r="R328" s="27"/>
      <c r="S328" s="10"/>
      <c r="T328" s="10"/>
      <c r="U328" s="10"/>
      <c r="V328" s="10"/>
      <c r="W328" s="10"/>
      <c r="X328" s="10"/>
      <c r="Y328" s="10"/>
      <c r="Z328" s="10"/>
      <c r="AA328" s="34"/>
      <c r="AB328" s="27"/>
      <c r="AC328" s="11"/>
      <c r="AD328" s="11"/>
      <c r="AE328" s="11"/>
      <c r="AF328" s="11"/>
    </row>
    <row r="329" spans="2:32" ht="11.25" customHeight="1" x14ac:dyDescent="0.35">
      <c r="B329" s="24"/>
      <c r="C329" s="7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34"/>
      <c r="R329" s="27"/>
      <c r="S329" s="10"/>
      <c r="T329" s="10"/>
      <c r="U329" s="10"/>
      <c r="V329" s="10"/>
      <c r="W329" s="10"/>
      <c r="X329" s="10"/>
      <c r="Y329" s="10"/>
      <c r="Z329" s="10"/>
      <c r="AA329" s="34"/>
      <c r="AB329" s="27"/>
      <c r="AC329" s="11"/>
      <c r="AD329" s="11"/>
      <c r="AE329" s="11"/>
      <c r="AF329" s="11"/>
    </row>
    <row r="330" spans="2:32" ht="11.25" customHeight="1" x14ac:dyDescent="0.35">
      <c r="B330" s="24"/>
      <c r="C330" s="7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34"/>
      <c r="R330" s="27"/>
      <c r="S330" s="10"/>
      <c r="T330" s="10"/>
      <c r="U330" s="10"/>
      <c r="V330" s="10"/>
      <c r="W330" s="10"/>
      <c r="X330" s="10"/>
      <c r="Y330" s="10"/>
      <c r="Z330" s="10"/>
      <c r="AA330" s="34"/>
      <c r="AB330" s="27"/>
      <c r="AC330" s="11"/>
      <c r="AD330" s="11"/>
      <c r="AE330" s="11"/>
      <c r="AF330" s="11"/>
    </row>
    <row r="331" spans="2:32" ht="11.25" customHeight="1" x14ac:dyDescent="0.35">
      <c r="B331" s="24"/>
      <c r="C331" s="7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34"/>
      <c r="R331" s="27"/>
      <c r="S331" s="10"/>
      <c r="T331" s="10"/>
      <c r="U331" s="10"/>
      <c r="V331" s="10"/>
      <c r="W331" s="10"/>
      <c r="X331" s="10"/>
      <c r="Y331" s="10"/>
      <c r="Z331" s="10"/>
      <c r="AA331" s="34"/>
      <c r="AB331" s="27"/>
      <c r="AC331" s="11"/>
      <c r="AD331" s="11"/>
      <c r="AE331" s="11"/>
      <c r="AF331" s="11"/>
    </row>
    <row r="332" spans="2:32" ht="11.25" customHeight="1" x14ac:dyDescent="0.35">
      <c r="B332" s="24"/>
      <c r="C332" s="7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34"/>
      <c r="R332" s="27"/>
      <c r="S332" s="10"/>
      <c r="T332" s="10"/>
      <c r="U332" s="10"/>
      <c r="V332" s="10"/>
      <c r="W332" s="10"/>
      <c r="X332" s="10"/>
      <c r="Y332" s="10"/>
      <c r="Z332" s="10"/>
      <c r="AA332" s="34"/>
      <c r="AB332" s="27"/>
      <c r="AC332" s="11"/>
      <c r="AD332" s="11"/>
      <c r="AE332" s="11"/>
      <c r="AF332" s="11"/>
    </row>
    <row r="333" spans="2:32" ht="11.25" customHeight="1" x14ac:dyDescent="0.35">
      <c r="B333" s="24"/>
      <c r="C333" s="7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34"/>
      <c r="R333" s="27"/>
      <c r="S333" s="10"/>
      <c r="T333" s="10"/>
      <c r="U333" s="10"/>
      <c r="V333" s="10"/>
      <c r="W333" s="10"/>
      <c r="X333" s="10"/>
      <c r="Y333" s="10"/>
      <c r="Z333" s="10"/>
      <c r="AA333" s="34"/>
      <c r="AB333" s="27"/>
      <c r="AC333" s="11"/>
      <c r="AD333" s="11"/>
      <c r="AE333" s="11"/>
      <c r="AF333" s="11"/>
    </row>
    <row r="334" spans="2:32" ht="11.25" customHeight="1" x14ac:dyDescent="0.35">
      <c r="B334" s="24"/>
      <c r="C334" s="7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34"/>
      <c r="R334" s="27"/>
      <c r="S334" s="10"/>
      <c r="T334" s="10"/>
      <c r="U334" s="10"/>
      <c r="V334" s="10"/>
      <c r="W334" s="10"/>
      <c r="X334" s="10"/>
      <c r="Y334" s="10"/>
      <c r="Z334" s="10"/>
      <c r="AA334" s="34"/>
      <c r="AB334" s="27"/>
      <c r="AC334" s="11"/>
      <c r="AD334" s="11"/>
      <c r="AE334" s="11"/>
      <c r="AF334" s="11"/>
    </row>
    <row r="335" spans="2:32" ht="11.25" customHeight="1" x14ac:dyDescent="0.35">
      <c r="B335" s="24"/>
      <c r="C335" s="7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34"/>
      <c r="R335" s="27"/>
      <c r="S335" s="10"/>
      <c r="T335" s="10"/>
      <c r="U335" s="10"/>
      <c r="V335" s="10"/>
      <c r="W335" s="10"/>
      <c r="X335" s="10"/>
      <c r="Y335" s="10"/>
      <c r="Z335" s="10"/>
      <c r="AA335" s="34"/>
      <c r="AB335" s="27"/>
      <c r="AC335" s="11"/>
      <c r="AD335" s="11"/>
      <c r="AE335" s="11"/>
      <c r="AF335" s="11"/>
    </row>
    <row r="336" spans="2:32" ht="11.25" customHeight="1" x14ac:dyDescent="0.35">
      <c r="B336" s="24"/>
      <c r="C336" s="7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34"/>
      <c r="R336" s="27"/>
      <c r="S336" s="10"/>
      <c r="T336" s="10"/>
      <c r="U336" s="10"/>
      <c r="V336" s="10"/>
      <c r="W336" s="10"/>
      <c r="X336" s="10"/>
      <c r="Y336" s="10"/>
      <c r="Z336" s="10"/>
      <c r="AA336" s="34"/>
      <c r="AB336" s="27"/>
      <c r="AC336" s="11"/>
      <c r="AD336" s="11"/>
      <c r="AE336" s="11"/>
      <c r="AF336" s="11"/>
    </row>
    <row r="337" spans="2:32" ht="11.25" customHeight="1" x14ac:dyDescent="0.35">
      <c r="B337" s="24"/>
      <c r="C337" s="7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34"/>
      <c r="R337" s="27"/>
      <c r="S337" s="10"/>
      <c r="T337" s="10"/>
      <c r="U337" s="10"/>
      <c r="V337" s="10"/>
      <c r="W337" s="10"/>
      <c r="X337" s="10"/>
      <c r="Y337" s="10"/>
      <c r="Z337" s="10"/>
      <c r="AA337" s="34"/>
      <c r="AB337" s="27"/>
      <c r="AC337" s="11"/>
      <c r="AD337" s="11"/>
      <c r="AE337" s="11"/>
      <c r="AF337" s="11"/>
    </row>
    <row r="338" spans="2:32" ht="11.25" customHeight="1" x14ac:dyDescent="0.35">
      <c r="B338" s="24"/>
      <c r="C338" s="7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34"/>
      <c r="R338" s="27"/>
      <c r="S338" s="10"/>
      <c r="T338" s="10"/>
      <c r="U338" s="10"/>
      <c r="V338" s="10"/>
      <c r="W338" s="10"/>
      <c r="X338" s="10"/>
      <c r="Y338" s="10"/>
      <c r="Z338" s="10"/>
      <c r="AA338" s="34"/>
      <c r="AB338" s="27"/>
      <c r="AC338" s="11"/>
      <c r="AD338" s="11"/>
      <c r="AE338" s="11"/>
      <c r="AF338" s="11"/>
    </row>
    <row r="339" spans="2:32" ht="11.25" customHeight="1" x14ac:dyDescent="0.35">
      <c r="B339" s="24"/>
      <c r="C339" s="7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34"/>
      <c r="R339" s="27"/>
      <c r="S339" s="10"/>
      <c r="T339" s="10"/>
      <c r="U339" s="10"/>
      <c r="V339" s="10"/>
      <c r="W339" s="10"/>
      <c r="X339" s="10"/>
      <c r="Y339" s="10"/>
      <c r="Z339" s="10"/>
      <c r="AA339" s="34"/>
      <c r="AB339" s="27"/>
      <c r="AC339" s="11"/>
      <c r="AD339" s="11"/>
      <c r="AE339" s="11"/>
      <c r="AF339" s="11"/>
    </row>
    <row r="340" spans="2:32" ht="11.25" customHeight="1" x14ac:dyDescent="0.35">
      <c r="B340" s="24"/>
      <c r="C340" s="7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34"/>
      <c r="R340" s="27"/>
      <c r="S340" s="10"/>
      <c r="T340" s="10"/>
      <c r="U340" s="10"/>
      <c r="V340" s="10"/>
      <c r="W340" s="10"/>
      <c r="X340" s="10"/>
      <c r="Y340" s="10"/>
      <c r="Z340" s="10"/>
      <c r="AA340" s="34"/>
      <c r="AB340" s="27"/>
      <c r="AC340" s="11"/>
      <c r="AD340" s="11"/>
      <c r="AE340" s="11"/>
      <c r="AF340" s="11"/>
    </row>
    <row r="341" spans="2:32" ht="11.25" customHeight="1" x14ac:dyDescent="0.35">
      <c r="B341" s="24"/>
      <c r="C341" s="7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34"/>
      <c r="R341" s="27"/>
      <c r="S341" s="10"/>
      <c r="T341" s="10"/>
      <c r="U341" s="10"/>
      <c r="V341" s="10"/>
      <c r="W341" s="10"/>
      <c r="X341" s="10"/>
      <c r="Y341" s="10"/>
      <c r="Z341" s="10"/>
      <c r="AA341" s="34"/>
      <c r="AB341" s="27"/>
      <c r="AC341" s="11"/>
      <c r="AD341" s="11"/>
      <c r="AE341" s="11"/>
      <c r="AF341" s="11"/>
    </row>
    <row r="342" spans="2:32" ht="11.25" customHeight="1" x14ac:dyDescent="0.35">
      <c r="B342" s="24"/>
      <c r="C342" s="7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34"/>
      <c r="R342" s="27"/>
      <c r="S342" s="10"/>
      <c r="T342" s="10"/>
      <c r="U342" s="10"/>
      <c r="V342" s="10"/>
      <c r="W342" s="10"/>
      <c r="X342" s="10"/>
      <c r="Y342" s="10"/>
      <c r="Z342" s="10"/>
      <c r="AA342" s="34"/>
      <c r="AB342" s="27"/>
      <c r="AC342" s="11"/>
      <c r="AD342" s="11"/>
      <c r="AE342" s="11"/>
      <c r="AF342" s="11"/>
    </row>
    <row r="343" spans="2:32" ht="11.25" customHeight="1" x14ac:dyDescent="0.35">
      <c r="B343" s="24"/>
      <c r="C343" s="7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34"/>
      <c r="R343" s="27"/>
      <c r="S343" s="10"/>
      <c r="T343" s="10"/>
      <c r="U343" s="10"/>
      <c r="V343" s="10"/>
      <c r="W343" s="10"/>
      <c r="X343" s="10"/>
      <c r="Y343" s="10"/>
      <c r="Z343" s="10"/>
      <c r="AA343" s="34"/>
      <c r="AB343" s="27"/>
      <c r="AC343" s="11"/>
      <c r="AD343" s="11"/>
      <c r="AE343" s="11"/>
      <c r="AF343" s="11"/>
    </row>
    <row r="344" spans="2:32" ht="11.25" customHeight="1" x14ac:dyDescent="0.35">
      <c r="B344" s="24"/>
      <c r="C344" s="7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34"/>
      <c r="R344" s="27"/>
      <c r="S344" s="10"/>
      <c r="T344" s="10"/>
      <c r="U344" s="10"/>
      <c r="V344" s="10"/>
      <c r="W344" s="10"/>
      <c r="X344" s="10"/>
      <c r="Y344" s="10"/>
      <c r="Z344" s="10"/>
      <c r="AA344" s="34"/>
      <c r="AB344" s="27"/>
      <c r="AC344" s="11"/>
      <c r="AD344" s="11"/>
      <c r="AE344" s="11"/>
      <c r="AF344" s="11"/>
    </row>
    <row r="345" spans="2:32" ht="11.25" customHeight="1" x14ac:dyDescent="0.35">
      <c r="B345" s="24"/>
      <c r="C345" s="7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34"/>
      <c r="R345" s="27"/>
      <c r="S345" s="10"/>
      <c r="T345" s="10"/>
      <c r="U345" s="10"/>
      <c r="V345" s="10"/>
      <c r="W345" s="10"/>
      <c r="X345" s="10"/>
      <c r="Y345" s="10"/>
      <c r="Z345" s="10"/>
      <c r="AA345" s="34"/>
      <c r="AB345" s="27"/>
      <c r="AC345" s="11"/>
      <c r="AD345" s="11"/>
      <c r="AE345" s="11"/>
      <c r="AF345" s="11"/>
    </row>
    <row r="346" spans="2:32" ht="11.25" customHeight="1" x14ac:dyDescent="0.35">
      <c r="B346" s="24"/>
      <c r="C346" s="7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34"/>
      <c r="R346" s="27"/>
      <c r="S346" s="10"/>
      <c r="T346" s="10"/>
      <c r="U346" s="10"/>
      <c r="V346" s="10"/>
      <c r="W346" s="10"/>
      <c r="X346" s="10"/>
      <c r="Y346" s="10"/>
      <c r="Z346" s="10"/>
      <c r="AA346" s="34"/>
      <c r="AB346" s="27"/>
      <c r="AC346" s="11"/>
      <c r="AD346" s="11"/>
      <c r="AE346" s="11"/>
      <c r="AF346" s="11"/>
    </row>
    <row r="347" spans="2:32" ht="11.25" customHeight="1" x14ac:dyDescent="0.35">
      <c r="B347" s="24"/>
      <c r="C347" s="7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34"/>
      <c r="R347" s="27"/>
      <c r="S347" s="10"/>
      <c r="T347" s="10"/>
      <c r="U347" s="10"/>
      <c r="V347" s="10"/>
      <c r="W347" s="10"/>
      <c r="X347" s="10"/>
      <c r="Y347" s="10"/>
      <c r="Z347" s="10"/>
      <c r="AA347" s="34"/>
      <c r="AB347" s="27"/>
      <c r="AC347" s="11"/>
      <c r="AD347" s="11"/>
      <c r="AE347" s="11"/>
      <c r="AF347" s="11"/>
    </row>
    <row r="348" spans="2:32" ht="11.25" customHeight="1" x14ac:dyDescent="0.35">
      <c r="B348" s="24"/>
      <c r="C348" s="7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34"/>
      <c r="R348" s="27"/>
      <c r="S348" s="10"/>
      <c r="T348" s="10"/>
      <c r="U348" s="10"/>
      <c r="V348" s="10"/>
      <c r="W348" s="10"/>
      <c r="X348" s="10"/>
      <c r="Y348" s="10"/>
      <c r="Z348" s="10"/>
      <c r="AA348" s="34"/>
      <c r="AB348" s="27"/>
      <c r="AC348" s="11"/>
      <c r="AD348" s="11"/>
      <c r="AE348" s="11"/>
      <c r="AF348" s="11"/>
    </row>
    <row r="349" spans="2:32" ht="11.25" customHeight="1" x14ac:dyDescent="0.35">
      <c r="B349" s="24"/>
      <c r="C349" s="7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34"/>
      <c r="R349" s="27"/>
      <c r="S349" s="10"/>
      <c r="T349" s="10"/>
      <c r="U349" s="10"/>
      <c r="V349" s="10"/>
      <c r="W349" s="10"/>
      <c r="X349" s="10"/>
      <c r="Y349" s="10"/>
      <c r="Z349" s="10"/>
      <c r="AA349" s="34"/>
      <c r="AB349" s="27"/>
      <c r="AC349" s="11"/>
      <c r="AD349" s="11"/>
      <c r="AE349" s="11"/>
      <c r="AF349" s="11"/>
    </row>
    <row r="350" spans="2:32" ht="11.25" customHeight="1" x14ac:dyDescent="0.35">
      <c r="B350" s="24"/>
      <c r="C350" s="7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34"/>
      <c r="R350" s="27"/>
      <c r="S350" s="10"/>
      <c r="T350" s="10"/>
      <c r="U350" s="10"/>
      <c r="V350" s="10"/>
      <c r="W350" s="10"/>
      <c r="X350" s="10"/>
      <c r="Y350" s="10"/>
      <c r="Z350" s="10"/>
      <c r="AA350" s="34"/>
      <c r="AB350" s="27"/>
      <c r="AC350" s="11"/>
      <c r="AD350" s="11"/>
      <c r="AE350" s="11"/>
      <c r="AF350" s="11"/>
    </row>
    <row r="351" spans="2:32" ht="11.25" customHeight="1" x14ac:dyDescent="0.35">
      <c r="B351" s="24"/>
      <c r="C351" s="7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34"/>
      <c r="R351" s="27"/>
      <c r="S351" s="10"/>
      <c r="T351" s="10"/>
      <c r="U351" s="10"/>
      <c r="V351" s="10"/>
      <c r="W351" s="10"/>
      <c r="X351" s="10"/>
      <c r="Y351" s="10"/>
      <c r="Z351" s="10"/>
      <c r="AA351" s="34"/>
      <c r="AB351" s="27"/>
      <c r="AC351" s="11"/>
      <c r="AD351" s="11"/>
      <c r="AE351" s="11"/>
      <c r="AF351" s="11"/>
    </row>
    <row r="352" spans="2:32" ht="11.25" customHeight="1" x14ac:dyDescent="0.35">
      <c r="B352" s="24"/>
      <c r="C352" s="7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34"/>
      <c r="R352" s="27"/>
      <c r="S352" s="10"/>
      <c r="T352" s="10"/>
      <c r="U352" s="10"/>
      <c r="V352" s="10"/>
      <c r="W352" s="10"/>
      <c r="X352" s="10"/>
      <c r="Y352" s="10"/>
      <c r="Z352" s="10"/>
      <c r="AA352" s="34"/>
      <c r="AB352" s="27"/>
      <c r="AC352" s="11"/>
      <c r="AD352" s="11"/>
      <c r="AE352" s="11"/>
      <c r="AF352" s="11"/>
    </row>
    <row r="353" spans="2:32" ht="11.25" customHeight="1" x14ac:dyDescent="0.35">
      <c r="B353" s="24"/>
      <c r="C353" s="7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34"/>
      <c r="R353" s="27"/>
      <c r="S353" s="10"/>
      <c r="T353" s="10"/>
      <c r="U353" s="10"/>
      <c r="V353" s="10"/>
      <c r="W353" s="10"/>
      <c r="X353" s="10"/>
      <c r="Y353" s="10"/>
      <c r="Z353" s="10"/>
      <c r="AA353" s="34"/>
      <c r="AB353" s="27"/>
      <c r="AC353" s="11"/>
      <c r="AD353" s="11"/>
      <c r="AE353" s="11"/>
      <c r="AF353" s="11"/>
    </row>
    <row r="354" spans="2:32" ht="11.25" customHeight="1" x14ac:dyDescent="0.35">
      <c r="B354" s="24"/>
      <c r="C354" s="7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34"/>
      <c r="R354" s="27"/>
      <c r="S354" s="10"/>
      <c r="T354" s="10"/>
      <c r="U354" s="10"/>
      <c r="V354" s="10"/>
      <c r="W354" s="10"/>
      <c r="X354" s="10"/>
      <c r="Y354" s="10"/>
      <c r="Z354" s="10"/>
      <c r="AA354" s="34"/>
      <c r="AB354" s="27"/>
      <c r="AC354" s="11"/>
      <c r="AD354" s="11"/>
      <c r="AE354" s="11"/>
      <c r="AF354" s="11"/>
    </row>
    <row r="355" spans="2:32" ht="11.25" customHeight="1" x14ac:dyDescent="0.35">
      <c r="B355" s="24"/>
      <c r="C355" s="7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34"/>
      <c r="R355" s="27"/>
      <c r="S355" s="10"/>
      <c r="T355" s="10"/>
      <c r="U355" s="10"/>
      <c r="V355" s="10"/>
      <c r="W355" s="10"/>
      <c r="X355" s="10"/>
      <c r="Y355" s="10"/>
      <c r="Z355" s="10"/>
      <c r="AA355" s="34"/>
      <c r="AB355" s="27"/>
      <c r="AC355" s="11"/>
      <c r="AD355" s="11"/>
      <c r="AE355" s="11"/>
      <c r="AF355" s="11"/>
    </row>
    <row r="356" spans="2:32" ht="11.25" customHeight="1" x14ac:dyDescent="0.35">
      <c r="B356" s="24"/>
      <c r="C356" s="7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34"/>
      <c r="R356" s="27"/>
      <c r="S356" s="10"/>
      <c r="T356" s="10"/>
      <c r="U356" s="10"/>
      <c r="V356" s="10"/>
      <c r="W356" s="10"/>
      <c r="X356" s="10"/>
      <c r="Y356" s="10"/>
      <c r="Z356" s="10"/>
      <c r="AA356" s="34"/>
      <c r="AB356" s="27"/>
      <c r="AC356" s="11"/>
      <c r="AD356" s="11"/>
      <c r="AE356" s="11"/>
      <c r="AF356" s="11"/>
    </row>
    <row r="357" spans="2:32" ht="11.25" customHeight="1" x14ac:dyDescent="0.35">
      <c r="B357" s="24"/>
      <c r="C357" s="7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34"/>
      <c r="R357" s="27"/>
      <c r="S357" s="10"/>
      <c r="T357" s="10"/>
      <c r="U357" s="10"/>
      <c r="V357" s="10"/>
      <c r="W357" s="10"/>
      <c r="X357" s="10"/>
      <c r="Y357" s="10"/>
      <c r="Z357" s="10"/>
      <c r="AA357" s="34"/>
      <c r="AB357" s="27"/>
      <c r="AC357" s="11"/>
      <c r="AD357" s="11"/>
      <c r="AE357" s="11"/>
      <c r="AF357" s="11"/>
    </row>
    <row r="358" spans="2:32" ht="11.25" customHeight="1" x14ac:dyDescent="0.35">
      <c r="B358" s="24"/>
      <c r="C358" s="7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34"/>
      <c r="R358" s="27"/>
      <c r="S358" s="10"/>
      <c r="T358" s="10"/>
      <c r="U358" s="10"/>
      <c r="V358" s="10"/>
      <c r="W358" s="10"/>
      <c r="X358" s="10"/>
      <c r="Y358" s="10"/>
      <c r="Z358" s="10"/>
      <c r="AA358" s="34"/>
      <c r="AB358" s="27"/>
      <c r="AC358" s="11"/>
      <c r="AD358" s="11"/>
      <c r="AE358" s="11"/>
      <c r="AF358" s="11"/>
    </row>
    <row r="359" spans="2:32" ht="11.25" customHeight="1" x14ac:dyDescent="0.35">
      <c r="B359" s="24"/>
      <c r="C359" s="7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34"/>
      <c r="R359" s="27"/>
      <c r="S359" s="10"/>
      <c r="T359" s="10"/>
      <c r="U359" s="10"/>
      <c r="V359" s="10"/>
      <c r="W359" s="10"/>
      <c r="X359" s="10"/>
      <c r="Y359" s="10"/>
      <c r="Z359" s="10"/>
      <c r="AA359" s="34"/>
      <c r="AB359" s="27"/>
      <c r="AC359" s="11"/>
      <c r="AD359" s="11"/>
      <c r="AE359" s="11"/>
      <c r="AF359" s="11"/>
    </row>
    <row r="360" spans="2:32" ht="11.25" customHeight="1" x14ac:dyDescent="0.35">
      <c r="B360" s="24"/>
      <c r="C360" s="7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34"/>
      <c r="R360" s="27"/>
      <c r="S360" s="10"/>
      <c r="T360" s="10"/>
      <c r="U360" s="10"/>
      <c r="V360" s="10"/>
      <c r="W360" s="10"/>
      <c r="X360" s="10"/>
      <c r="Y360" s="10"/>
      <c r="Z360" s="10"/>
      <c r="AA360" s="34"/>
      <c r="AB360" s="27"/>
      <c r="AC360" s="11"/>
      <c r="AD360" s="11"/>
      <c r="AE360" s="11"/>
      <c r="AF360" s="11"/>
    </row>
    <row r="361" spans="2:32" ht="11.25" customHeight="1" x14ac:dyDescent="0.35">
      <c r="B361" s="24"/>
      <c r="C361" s="7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34"/>
      <c r="R361" s="27"/>
      <c r="S361" s="10"/>
      <c r="T361" s="10"/>
      <c r="U361" s="10"/>
      <c r="V361" s="10"/>
      <c r="W361" s="10"/>
      <c r="X361" s="10"/>
      <c r="Y361" s="10"/>
      <c r="Z361" s="10"/>
      <c r="AA361" s="34"/>
      <c r="AB361" s="27"/>
      <c r="AC361" s="11"/>
      <c r="AD361" s="11"/>
      <c r="AE361" s="11"/>
      <c r="AF361" s="11"/>
    </row>
    <row r="362" spans="2:32" ht="11.25" customHeight="1" x14ac:dyDescent="0.35">
      <c r="B362" s="24"/>
      <c r="C362" s="7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34"/>
      <c r="R362" s="27"/>
      <c r="S362" s="10"/>
      <c r="T362" s="10"/>
      <c r="U362" s="10"/>
      <c r="V362" s="10"/>
      <c r="W362" s="10"/>
      <c r="X362" s="10"/>
      <c r="Y362" s="10"/>
      <c r="Z362" s="10"/>
      <c r="AA362" s="34"/>
      <c r="AB362" s="27"/>
      <c r="AC362" s="11"/>
      <c r="AD362" s="11"/>
      <c r="AE362" s="11"/>
      <c r="AF362" s="11"/>
    </row>
    <row r="363" spans="2:32" ht="11.25" customHeight="1" x14ac:dyDescent="0.35">
      <c r="B363" s="24"/>
      <c r="C363" s="7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34"/>
      <c r="R363" s="27"/>
      <c r="S363" s="10"/>
      <c r="T363" s="10"/>
      <c r="U363" s="10"/>
      <c r="V363" s="10"/>
      <c r="W363" s="10"/>
      <c r="X363" s="10"/>
      <c r="Y363" s="10"/>
      <c r="Z363" s="10"/>
      <c r="AA363" s="34"/>
      <c r="AB363" s="27"/>
      <c r="AC363" s="11"/>
      <c r="AD363" s="11"/>
      <c r="AE363" s="11"/>
      <c r="AF363" s="11"/>
    </row>
    <row r="364" spans="2:32" ht="11.25" customHeight="1" x14ac:dyDescent="0.35">
      <c r="B364" s="24"/>
      <c r="C364" s="7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34"/>
      <c r="R364" s="27"/>
      <c r="S364" s="10"/>
      <c r="T364" s="10"/>
      <c r="U364" s="10"/>
      <c r="V364" s="10"/>
      <c r="W364" s="10"/>
      <c r="X364" s="10"/>
      <c r="Y364" s="10"/>
      <c r="Z364" s="10"/>
      <c r="AA364" s="34"/>
      <c r="AB364" s="27"/>
      <c r="AC364" s="11"/>
      <c r="AD364" s="11"/>
      <c r="AE364" s="11"/>
      <c r="AF364" s="11"/>
    </row>
    <row r="365" spans="2:32" ht="11.25" customHeight="1" x14ac:dyDescent="0.35">
      <c r="B365" s="24"/>
      <c r="C365" s="7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34"/>
      <c r="R365" s="27"/>
      <c r="S365" s="10"/>
      <c r="T365" s="10"/>
      <c r="U365" s="10"/>
      <c r="V365" s="10"/>
      <c r="W365" s="10"/>
      <c r="X365" s="10"/>
      <c r="Y365" s="10"/>
      <c r="Z365" s="10"/>
      <c r="AA365" s="34"/>
      <c r="AB365" s="27"/>
      <c r="AC365" s="11"/>
      <c r="AD365" s="11"/>
      <c r="AE365" s="11"/>
      <c r="AF365" s="11"/>
    </row>
    <row r="366" spans="2:32" ht="11.25" customHeight="1" x14ac:dyDescent="0.35">
      <c r="B366" s="24"/>
      <c r="C366" s="7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34"/>
      <c r="R366" s="27"/>
      <c r="S366" s="10"/>
      <c r="T366" s="10"/>
      <c r="U366" s="10"/>
      <c r="V366" s="10"/>
      <c r="W366" s="10"/>
      <c r="X366" s="10"/>
      <c r="Y366" s="10"/>
      <c r="Z366" s="10"/>
      <c r="AA366" s="34"/>
      <c r="AB366" s="27"/>
      <c r="AC366" s="11"/>
      <c r="AD366" s="11"/>
      <c r="AE366" s="11"/>
      <c r="AF366" s="11"/>
    </row>
    <row r="367" spans="2:32" ht="11.25" customHeight="1" x14ac:dyDescent="0.35">
      <c r="B367" s="24"/>
      <c r="C367" s="7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34"/>
      <c r="R367" s="27"/>
      <c r="S367" s="10"/>
      <c r="T367" s="10"/>
      <c r="U367" s="10"/>
      <c r="V367" s="10"/>
      <c r="W367" s="10"/>
      <c r="X367" s="10"/>
      <c r="Y367" s="10"/>
      <c r="Z367" s="10"/>
      <c r="AA367" s="34"/>
      <c r="AB367" s="27"/>
      <c r="AC367" s="11"/>
      <c r="AD367" s="11"/>
      <c r="AE367" s="11"/>
      <c r="AF367" s="11"/>
    </row>
    <row r="368" spans="2:32" ht="11.25" customHeight="1" x14ac:dyDescent="0.35">
      <c r="B368" s="24"/>
      <c r="C368" s="7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34"/>
      <c r="R368" s="27"/>
      <c r="S368" s="10"/>
      <c r="T368" s="10"/>
      <c r="U368" s="10"/>
      <c r="V368" s="10"/>
      <c r="W368" s="10"/>
      <c r="X368" s="10"/>
      <c r="Y368" s="10"/>
      <c r="Z368" s="10"/>
      <c r="AA368" s="34"/>
      <c r="AB368" s="27"/>
      <c r="AC368" s="11"/>
      <c r="AD368" s="11"/>
      <c r="AE368" s="11"/>
      <c r="AF368" s="11"/>
    </row>
    <row r="369" spans="2:32" ht="11.25" customHeight="1" x14ac:dyDescent="0.35">
      <c r="B369" s="24"/>
      <c r="C369" s="7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34"/>
      <c r="R369" s="27"/>
      <c r="S369" s="10"/>
      <c r="T369" s="10"/>
      <c r="U369" s="10"/>
      <c r="V369" s="10"/>
      <c r="W369" s="10"/>
      <c r="X369" s="10"/>
      <c r="Y369" s="10"/>
      <c r="Z369" s="10"/>
      <c r="AA369" s="34"/>
      <c r="AB369" s="27"/>
      <c r="AC369" s="11"/>
      <c r="AD369" s="11"/>
      <c r="AE369" s="11"/>
      <c r="AF369" s="11"/>
    </row>
    <row r="370" spans="2:32" ht="11.25" customHeight="1" x14ac:dyDescent="0.35">
      <c r="B370" s="24"/>
      <c r="C370" s="7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34"/>
      <c r="R370" s="27"/>
      <c r="S370" s="10"/>
      <c r="T370" s="10"/>
      <c r="U370" s="10"/>
      <c r="V370" s="10"/>
      <c r="W370" s="10"/>
      <c r="X370" s="10"/>
      <c r="Y370" s="10"/>
      <c r="Z370" s="10"/>
      <c r="AA370" s="34"/>
      <c r="AB370" s="27"/>
      <c r="AC370" s="11"/>
      <c r="AD370" s="11"/>
      <c r="AE370" s="11"/>
      <c r="AF370" s="11"/>
    </row>
    <row r="371" spans="2:32" ht="11.25" customHeight="1" x14ac:dyDescent="0.35">
      <c r="B371" s="24"/>
      <c r="C371" s="7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34"/>
      <c r="R371" s="27"/>
      <c r="S371" s="10"/>
      <c r="T371" s="10"/>
      <c r="U371" s="10"/>
      <c r="V371" s="10"/>
      <c r="W371" s="10"/>
      <c r="X371" s="10"/>
      <c r="Y371" s="10"/>
      <c r="Z371" s="10"/>
      <c r="AA371" s="34"/>
      <c r="AB371" s="27"/>
      <c r="AC371" s="11"/>
      <c r="AD371" s="11"/>
      <c r="AE371" s="11"/>
      <c r="AF371" s="11"/>
    </row>
    <row r="372" spans="2:32" ht="11.25" customHeight="1" x14ac:dyDescent="0.35">
      <c r="B372" s="24"/>
      <c r="C372" s="7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34"/>
      <c r="R372" s="27"/>
      <c r="S372" s="10"/>
      <c r="T372" s="10"/>
      <c r="U372" s="10"/>
      <c r="V372" s="10"/>
      <c r="W372" s="10"/>
      <c r="X372" s="10"/>
      <c r="Y372" s="10"/>
      <c r="Z372" s="10"/>
      <c r="AA372" s="34"/>
      <c r="AB372" s="27"/>
      <c r="AC372" s="11"/>
      <c r="AD372" s="11"/>
      <c r="AE372" s="11"/>
      <c r="AF372" s="11"/>
    </row>
    <row r="373" spans="2:32" ht="11.25" customHeight="1" x14ac:dyDescent="0.35">
      <c r="B373" s="24"/>
      <c r="C373" s="7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34"/>
      <c r="R373" s="27"/>
      <c r="S373" s="10"/>
      <c r="T373" s="10"/>
      <c r="U373" s="10"/>
      <c r="V373" s="10"/>
      <c r="W373" s="10"/>
      <c r="X373" s="10"/>
      <c r="Y373" s="10"/>
      <c r="Z373" s="10"/>
      <c r="AA373" s="34"/>
      <c r="AB373" s="27"/>
      <c r="AC373" s="11"/>
      <c r="AD373" s="11"/>
      <c r="AE373" s="11"/>
      <c r="AF373" s="11"/>
    </row>
    <row r="374" spans="2:32" ht="11.25" customHeight="1" x14ac:dyDescent="0.35">
      <c r="B374" s="24"/>
      <c r="C374" s="7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34"/>
      <c r="R374" s="27"/>
      <c r="S374" s="10"/>
      <c r="T374" s="10"/>
      <c r="U374" s="10"/>
      <c r="V374" s="10"/>
      <c r="W374" s="10"/>
      <c r="X374" s="10"/>
      <c r="Y374" s="10"/>
      <c r="Z374" s="10"/>
      <c r="AA374" s="34"/>
      <c r="AB374" s="27"/>
      <c r="AC374" s="11"/>
      <c r="AD374" s="11"/>
      <c r="AE374" s="11"/>
      <c r="AF374" s="11"/>
    </row>
    <row r="375" spans="2:32" ht="11.25" customHeight="1" x14ac:dyDescent="0.35">
      <c r="B375" s="24"/>
      <c r="C375" s="7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34"/>
      <c r="R375" s="27"/>
      <c r="S375" s="10"/>
      <c r="T375" s="10"/>
      <c r="U375" s="10"/>
      <c r="V375" s="10"/>
      <c r="W375" s="10"/>
      <c r="X375" s="10"/>
      <c r="Y375" s="10"/>
      <c r="Z375" s="10"/>
      <c r="AA375" s="34"/>
      <c r="AB375" s="27"/>
      <c r="AC375" s="11"/>
      <c r="AD375" s="11"/>
      <c r="AE375" s="11"/>
      <c r="AF375" s="11"/>
    </row>
    <row r="376" spans="2:32" ht="11.25" customHeight="1" x14ac:dyDescent="0.35">
      <c r="B376" s="24"/>
      <c r="C376" s="7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34"/>
      <c r="R376" s="27"/>
      <c r="S376" s="10"/>
      <c r="T376" s="10"/>
      <c r="U376" s="10"/>
      <c r="V376" s="10"/>
      <c r="W376" s="10"/>
      <c r="X376" s="10"/>
      <c r="Y376" s="10"/>
      <c r="Z376" s="10"/>
      <c r="AA376" s="34"/>
      <c r="AB376" s="27"/>
      <c r="AC376" s="11"/>
      <c r="AD376" s="11"/>
      <c r="AE376" s="11"/>
      <c r="AF376" s="11"/>
    </row>
    <row r="377" spans="2:32" ht="11.25" customHeight="1" x14ac:dyDescent="0.35">
      <c r="B377" s="24"/>
      <c r="C377" s="7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34"/>
      <c r="R377" s="27"/>
      <c r="S377" s="10"/>
      <c r="T377" s="10"/>
      <c r="U377" s="10"/>
      <c r="V377" s="10"/>
      <c r="W377" s="10"/>
      <c r="X377" s="10"/>
      <c r="Y377" s="10"/>
      <c r="Z377" s="10"/>
      <c r="AA377" s="34"/>
      <c r="AB377" s="27"/>
      <c r="AC377" s="11"/>
      <c r="AD377" s="11"/>
      <c r="AE377" s="11"/>
      <c r="AF377" s="11"/>
    </row>
    <row r="378" spans="2:32" ht="11.25" customHeight="1" x14ac:dyDescent="0.35">
      <c r="B378" s="24"/>
      <c r="C378" s="7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34"/>
      <c r="R378" s="27"/>
      <c r="S378" s="10"/>
      <c r="T378" s="10"/>
      <c r="U378" s="10"/>
      <c r="V378" s="10"/>
      <c r="W378" s="10"/>
      <c r="X378" s="10"/>
      <c r="Y378" s="10"/>
      <c r="Z378" s="10"/>
      <c r="AA378" s="34"/>
      <c r="AB378" s="27"/>
      <c r="AC378" s="11"/>
      <c r="AD378" s="11"/>
      <c r="AE378" s="11"/>
      <c r="AF378" s="11"/>
    </row>
    <row r="379" spans="2:32" ht="11.25" customHeight="1" x14ac:dyDescent="0.35">
      <c r="B379" s="24"/>
      <c r="C379" s="7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34"/>
      <c r="R379" s="27"/>
      <c r="S379" s="10"/>
      <c r="T379" s="10"/>
      <c r="U379" s="10"/>
      <c r="V379" s="10"/>
      <c r="W379" s="10"/>
      <c r="X379" s="10"/>
      <c r="Y379" s="10"/>
      <c r="Z379" s="10"/>
      <c r="AA379" s="34"/>
      <c r="AB379" s="27"/>
      <c r="AC379" s="11"/>
      <c r="AD379" s="11"/>
      <c r="AE379" s="11"/>
      <c r="AF379" s="11"/>
    </row>
    <row r="380" spans="2:32" ht="11.25" customHeight="1" x14ac:dyDescent="0.35">
      <c r="B380" s="24"/>
      <c r="C380" s="7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34"/>
      <c r="R380" s="27"/>
      <c r="S380" s="10"/>
      <c r="T380" s="10"/>
      <c r="U380" s="10"/>
      <c r="V380" s="10"/>
      <c r="W380" s="10"/>
      <c r="X380" s="10"/>
      <c r="Y380" s="10"/>
      <c r="Z380" s="10"/>
      <c r="AA380" s="34"/>
      <c r="AB380" s="27"/>
      <c r="AC380" s="11"/>
      <c r="AD380" s="11"/>
      <c r="AE380" s="11"/>
      <c r="AF380" s="11"/>
    </row>
    <row r="381" spans="2:32" ht="11.25" customHeight="1" x14ac:dyDescent="0.35">
      <c r="B381" s="24"/>
      <c r="C381" s="7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34"/>
      <c r="R381" s="27"/>
      <c r="S381" s="10"/>
      <c r="T381" s="10"/>
      <c r="U381" s="10"/>
      <c r="V381" s="10"/>
      <c r="W381" s="10"/>
      <c r="X381" s="10"/>
      <c r="Y381" s="10"/>
      <c r="Z381" s="10"/>
      <c r="AA381" s="34"/>
      <c r="AB381" s="27"/>
      <c r="AC381" s="11"/>
      <c r="AD381" s="11"/>
      <c r="AE381" s="11"/>
      <c r="AF381" s="11"/>
    </row>
    <row r="382" spans="2:32" ht="11.25" customHeight="1" x14ac:dyDescent="0.35">
      <c r="B382" s="24"/>
      <c r="C382" s="7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34"/>
      <c r="R382" s="27"/>
      <c r="S382" s="10"/>
      <c r="T382" s="10"/>
      <c r="U382" s="10"/>
      <c r="V382" s="10"/>
      <c r="W382" s="10"/>
      <c r="X382" s="10"/>
      <c r="Y382" s="10"/>
      <c r="Z382" s="10"/>
      <c r="AA382" s="34"/>
      <c r="AB382" s="27"/>
      <c r="AC382" s="11"/>
      <c r="AD382" s="11"/>
      <c r="AE382" s="11"/>
      <c r="AF382" s="11"/>
    </row>
    <row r="383" spans="2:32" ht="11.25" customHeight="1" x14ac:dyDescent="0.35">
      <c r="B383" s="24"/>
      <c r="C383" s="7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34"/>
      <c r="R383" s="27"/>
      <c r="S383" s="10"/>
      <c r="T383" s="10"/>
      <c r="U383" s="10"/>
      <c r="V383" s="10"/>
      <c r="W383" s="10"/>
      <c r="X383" s="10"/>
      <c r="Y383" s="10"/>
      <c r="Z383" s="10"/>
      <c r="AA383" s="34"/>
      <c r="AB383" s="27"/>
      <c r="AC383" s="11"/>
      <c r="AD383" s="11"/>
      <c r="AE383" s="11"/>
      <c r="AF383" s="11"/>
    </row>
    <row r="384" spans="2:32" ht="11.25" customHeight="1" x14ac:dyDescent="0.35">
      <c r="B384" s="24"/>
      <c r="C384" s="7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34"/>
      <c r="R384" s="27"/>
      <c r="S384" s="10"/>
      <c r="T384" s="10"/>
      <c r="U384" s="10"/>
      <c r="V384" s="10"/>
      <c r="W384" s="10"/>
      <c r="X384" s="10"/>
      <c r="Y384" s="10"/>
      <c r="Z384" s="10"/>
      <c r="AA384" s="34"/>
      <c r="AB384" s="27"/>
      <c r="AC384" s="11"/>
      <c r="AD384" s="11"/>
      <c r="AE384" s="11"/>
      <c r="AF384" s="11"/>
    </row>
    <row r="385" spans="2:32" ht="11.25" customHeight="1" x14ac:dyDescent="0.35">
      <c r="B385" s="24"/>
      <c r="C385" s="7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34"/>
      <c r="R385" s="27"/>
      <c r="S385" s="10"/>
      <c r="T385" s="10"/>
      <c r="U385" s="10"/>
      <c r="V385" s="10"/>
      <c r="W385" s="10"/>
      <c r="X385" s="10"/>
      <c r="Y385" s="10"/>
      <c r="Z385" s="10"/>
      <c r="AA385" s="34"/>
      <c r="AB385" s="27"/>
      <c r="AC385" s="11"/>
      <c r="AD385" s="11"/>
      <c r="AE385" s="11"/>
      <c r="AF385" s="11"/>
    </row>
    <row r="386" spans="2:32" ht="11.25" customHeight="1" x14ac:dyDescent="0.35">
      <c r="B386" s="24"/>
      <c r="C386" s="7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34"/>
      <c r="R386" s="27"/>
      <c r="S386" s="10"/>
      <c r="T386" s="10"/>
      <c r="U386" s="10"/>
      <c r="V386" s="10"/>
      <c r="W386" s="10"/>
      <c r="X386" s="10"/>
      <c r="Y386" s="10"/>
      <c r="Z386" s="10"/>
      <c r="AA386" s="34"/>
      <c r="AB386" s="27"/>
      <c r="AC386" s="11"/>
      <c r="AD386" s="11"/>
      <c r="AE386" s="11"/>
      <c r="AF386" s="11"/>
    </row>
    <row r="387" spans="2:32" ht="11.25" customHeight="1" x14ac:dyDescent="0.35">
      <c r="B387" s="24"/>
      <c r="C387" s="7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34"/>
      <c r="R387" s="27"/>
      <c r="S387" s="10"/>
      <c r="T387" s="10"/>
      <c r="U387" s="10"/>
      <c r="V387" s="10"/>
      <c r="W387" s="10"/>
      <c r="X387" s="10"/>
      <c r="Y387" s="10"/>
      <c r="Z387" s="10"/>
      <c r="AA387" s="34"/>
      <c r="AB387" s="27"/>
      <c r="AC387" s="11"/>
      <c r="AD387" s="11"/>
      <c r="AE387" s="11"/>
      <c r="AF387" s="11"/>
    </row>
    <row r="388" spans="2:32" ht="11.25" customHeight="1" x14ac:dyDescent="0.35">
      <c r="B388" s="24"/>
      <c r="C388" s="7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34"/>
      <c r="R388" s="27"/>
      <c r="S388" s="10"/>
      <c r="T388" s="10"/>
      <c r="U388" s="10"/>
      <c r="V388" s="10"/>
      <c r="W388" s="10"/>
      <c r="X388" s="10"/>
      <c r="Y388" s="10"/>
      <c r="Z388" s="10"/>
      <c r="AA388" s="34"/>
      <c r="AB388" s="27"/>
      <c r="AC388" s="11"/>
      <c r="AD388" s="11"/>
      <c r="AE388" s="11"/>
      <c r="AF388" s="11"/>
    </row>
    <row r="389" spans="2:32" ht="11.25" customHeight="1" x14ac:dyDescent="0.35">
      <c r="B389" s="24"/>
      <c r="C389" s="7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34"/>
      <c r="R389" s="27"/>
      <c r="S389" s="10"/>
      <c r="T389" s="10"/>
      <c r="U389" s="10"/>
      <c r="V389" s="10"/>
      <c r="W389" s="10"/>
      <c r="X389" s="10"/>
      <c r="Y389" s="10"/>
      <c r="Z389" s="10"/>
      <c r="AA389" s="34"/>
      <c r="AB389" s="27"/>
      <c r="AC389" s="11"/>
      <c r="AD389" s="11"/>
      <c r="AE389" s="11"/>
      <c r="AF389" s="11"/>
    </row>
    <row r="390" spans="2:32" ht="11.25" customHeight="1" x14ac:dyDescent="0.35">
      <c r="B390" s="24"/>
      <c r="C390" s="7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34"/>
      <c r="R390" s="27"/>
      <c r="S390" s="10"/>
      <c r="T390" s="10"/>
      <c r="U390" s="10"/>
      <c r="V390" s="10"/>
      <c r="W390" s="10"/>
      <c r="X390" s="10"/>
      <c r="Y390" s="10"/>
      <c r="Z390" s="10"/>
      <c r="AA390" s="34"/>
      <c r="AB390" s="27"/>
      <c r="AC390" s="11"/>
      <c r="AD390" s="11"/>
      <c r="AE390" s="11"/>
      <c r="AF390" s="11"/>
    </row>
    <row r="391" spans="2:32" ht="11.25" customHeight="1" x14ac:dyDescent="0.35">
      <c r="B391" s="24"/>
      <c r="C391" s="7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34"/>
      <c r="R391" s="27"/>
      <c r="S391" s="10"/>
      <c r="T391" s="10"/>
      <c r="U391" s="10"/>
      <c r="V391" s="10"/>
      <c r="W391" s="10"/>
      <c r="X391" s="10"/>
      <c r="Y391" s="10"/>
      <c r="Z391" s="10"/>
      <c r="AA391" s="34"/>
      <c r="AB391" s="27"/>
      <c r="AC391" s="11"/>
      <c r="AD391" s="11"/>
      <c r="AE391" s="11"/>
      <c r="AF391" s="11"/>
    </row>
    <row r="392" spans="2:32" ht="11.25" customHeight="1" x14ac:dyDescent="0.35">
      <c r="B392" s="24"/>
      <c r="C392" s="7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34"/>
      <c r="R392" s="27"/>
      <c r="S392" s="10"/>
      <c r="T392" s="10"/>
      <c r="U392" s="10"/>
      <c r="V392" s="10"/>
      <c r="W392" s="10"/>
      <c r="X392" s="10"/>
      <c r="Y392" s="10"/>
      <c r="Z392" s="10"/>
      <c r="AA392" s="34"/>
      <c r="AB392" s="27"/>
      <c r="AC392" s="11"/>
      <c r="AD392" s="11"/>
      <c r="AE392" s="11"/>
      <c r="AF392" s="11"/>
    </row>
    <row r="393" spans="2:32" ht="11.25" customHeight="1" x14ac:dyDescent="0.35">
      <c r="B393" s="24"/>
      <c r="C393" s="7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34"/>
      <c r="R393" s="27"/>
      <c r="S393" s="10"/>
      <c r="T393" s="10"/>
      <c r="U393" s="10"/>
      <c r="V393" s="10"/>
      <c r="W393" s="10"/>
      <c r="X393" s="10"/>
      <c r="Y393" s="10"/>
      <c r="Z393" s="10"/>
      <c r="AA393" s="34"/>
      <c r="AB393" s="27"/>
      <c r="AC393" s="11"/>
      <c r="AD393" s="11"/>
      <c r="AE393" s="11"/>
      <c r="AF393" s="11"/>
    </row>
    <row r="394" spans="2:32" ht="11.25" customHeight="1" x14ac:dyDescent="0.35">
      <c r="B394" s="24"/>
      <c r="C394" s="7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34"/>
      <c r="R394" s="27"/>
      <c r="S394" s="10"/>
      <c r="T394" s="10"/>
      <c r="U394" s="10"/>
      <c r="V394" s="10"/>
      <c r="W394" s="10"/>
      <c r="X394" s="10"/>
      <c r="Y394" s="10"/>
      <c r="Z394" s="10"/>
      <c r="AA394" s="34"/>
      <c r="AB394" s="27"/>
      <c r="AC394" s="11"/>
      <c r="AD394" s="11"/>
      <c r="AE394" s="11"/>
      <c r="AF394" s="11"/>
    </row>
    <row r="395" spans="2:32" ht="11.25" customHeight="1" x14ac:dyDescent="0.35">
      <c r="B395" s="24"/>
      <c r="C395" s="7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34"/>
      <c r="R395" s="27"/>
      <c r="S395" s="10"/>
      <c r="T395" s="10"/>
      <c r="U395" s="10"/>
      <c r="V395" s="10"/>
      <c r="W395" s="10"/>
      <c r="X395" s="10"/>
      <c r="Y395" s="10"/>
      <c r="Z395" s="10"/>
      <c r="AA395" s="34"/>
      <c r="AB395" s="27"/>
      <c r="AC395" s="11"/>
      <c r="AD395" s="11"/>
      <c r="AE395" s="11"/>
      <c r="AF395" s="11"/>
    </row>
    <row r="396" spans="2:32" ht="11.25" customHeight="1" x14ac:dyDescent="0.35">
      <c r="B396" s="24"/>
      <c r="C396" s="7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34"/>
      <c r="R396" s="27"/>
      <c r="S396" s="10"/>
      <c r="T396" s="10"/>
      <c r="U396" s="10"/>
      <c r="V396" s="10"/>
      <c r="W396" s="10"/>
      <c r="X396" s="10"/>
      <c r="Y396" s="10"/>
      <c r="Z396" s="10"/>
      <c r="AA396" s="34"/>
      <c r="AB396" s="27"/>
      <c r="AC396" s="11"/>
      <c r="AD396" s="11"/>
      <c r="AE396" s="11"/>
      <c r="AF396" s="11"/>
    </row>
    <row r="397" spans="2:32" ht="11.25" customHeight="1" x14ac:dyDescent="0.35">
      <c r="B397" s="24"/>
      <c r="C397" s="7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34"/>
      <c r="R397" s="27"/>
      <c r="S397" s="10"/>
      <c r="T397" s="10"/>
      <c r="U397" s="10"/>
      <c r="V397" s="10"/>
      <c r="W397" s="10"/>
      <c r="X397" s="10"/>
      <c r="Y397" s="10"/>
      <c r="Z397" s="10"/>
      <c r="AA397" s="34"/>
      <c r="AB397" s="27"/>
      <c r="AC397" s="11"/>
      <c r="AD397" s="11"/>
      <c r="AE397" s="11"/>
      <c r="AF397" s="11"/>
    </row>
    <row r="398" spans="2:32" ht="11.25" customHeight="1" x14ac:dyDescent="0.35">
      <c r="B398" s="24"/>
      <c r="C398" s="7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34"/>
      <c r="R398" s="27"/>
      <c r="S398" s="10"/>
      <c r="T398" s="10"/>
      <c r="U398" s="10"/>
      <c r="V398" s="10"/>
      <c r="W398" s="10"/>
      <c r="X398" s="10"/>
      <c r="Y398" s="10"/>
      <c r="Z398" s="10"/>
      <c r="AA398" s="34"/>
      <c r="AB398" s="27"/>
      <c r="AC398" s="11"/>
      <c r="AD398" s="11"/>
      <c r="AE398" s="11"/>
      <c r="AF398" s="11"/>
    </row>
    <row r="399" spans="2:32" ht="11.25" customHeight="1" x14ac:dyDescent="0.35">
      <c r="B399" s="24"/>
      <c r="C399" s="7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34"/>
      <c r="R399" s="27"/>
      <c r="S399" s="10"/>
      <c r="T399" s="10"/>
      <c r="U399" s="10"/>
      <c r="V399" s="10"/>
      <c r="W399" s="10"/>
      <c r="X399" s="10"/>
      <c r="Y399" s="10"/>
      <c r="Z399" s="10"/>
      <c r="AA399" s="34"/>
      <c r="AB399" s="27"/>
      <c r="AC399" s="11"/>
      <c r="AD399" s="11"/>
      <c r="AE399" s="11"/>
      <c r="AF399" s="11"/>
    </row>
    <row r="400" spans="2:32" ht="11.25" customHeight="1" x14ac:dyDescent="0.35">
      <c r="B400" s="24"/>
      <c r="C400" s="7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34"/>
      <c r="R400" s="27"/>
      <c r="S400" s="10"/>
      <c r="T400" s="10"/>
      <c r="U400" s="10"/>
      <c r="V400" s="10"/>
      <c r="W400" s="10"/>
      <c r="X400" s="10"/>
      <c r="Y400" s="10"/>
      <c r="Z400" s="10"/>
      <c r="AA400" s="34"/>
      <c r="AB400" s="27"/>
      <c r="AC400" s="11"/>
      <c r="AD400" s="11"/>
      <c r="AE400" s="11"/>
      <c r="AF400" s="11"/>
    </row>
    <row r="401" spans="2:32" ht="11.25" customHeight="1" x14ac:dyDescent="0.35">
      <c r="B401" s="24"/>
      <c r="C401" s="7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34"/>
      <c r="R401" s="27"/>
      <c r="S401" s="10"/>
      <c r="T401" s="10"/>
      <c r="U401" s="10"/>
      <c r="V401" s="10"/>
      <c r="W401" s="10"/>
      <c r="X401" s="10"/>
      <c r="Y401" s="10"/>
      <c r="Z401" s="10"/>
      <c r="AA401" s="34"/>
      <c r="AB401" s="27"/>
      <c r="AC401" s="11"/>
      <c r="AD401" s="11"/>
      <c r="AE401" s="11"/>
      <c r="AF401" s="11"/>
    </row>
    <row r="402" spans="2:32" ht="11.25" customHeight="1" x14ac:dyDescent="0.35">
      <c r="B402" s="24"/>
      <c r="C402" s="7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34"/>
      <c r="R402" s="27"/>
      <c r="S402" s="10"/>
      <c r="T402" s="10"/>
      <c r="U402" s="10"/>
      <c r="V402" s="10"/>
      <c r="W402" s="10"/>
      <c r="X402" s="10"/>
      <c r="Y402" s="10"/>
      <c r="Z402" s="10"/>
      <c r="AA402" s="34"/>
      <c r="AB402" s="27"/>
      <c r="AC402" s="11"/>
      <c r="AD402" s="11"/>
      <c r="AE402" s="11"/>
      <c r="AF402" s="11"/>
    </row>
    <row r="403" spans="2:32" ht="11.25" customHeight="1" x14ac:dyDescent="0.35">
      <c r="B403" s="24"/>
      <c r="C403" s="7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34"/>
      <c r="R403" s="27"/>
      <c r="S403" s="10"/>
      <c r="T403" s="10"/>
      <c r="U403" s="10"/>
      <c r="V403" s="10"/>
      <c r="W403" s="10"/>
      <c r="X403" s="10"/>
      <c r="Y403" s="10"/>
      <c r="Z403" s="10"/>
      <c r="AA403" s="34"/>
      <c r="AB403" s="27"/>
      <c r="AC403" s="11"/>
      <c r="AD403" s="11"/>
      <c r="AE403" s="11"/>
      <c r="AF403" s="11"/>
    </row>
    <row r="404" spans="2:32" ht="11.25" customHeight="1" x14ac:dyDescent="0.35">
      <c r="B404" s="24"/>
      <c r="C404" s="7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34"/>
      <c r="R404" s="27"/>
      <c r="S404" s="10"/>
      <c r="T404" s="10"/>
      <c r="U404" s="10"/>
      <c r="V404" s="10"/>
      <c r="W404" s="10"/>
      <c r="X404" s="10"/>
      <c r="Y404" s="10"/>
      <c r="Z404" s="10"/>
      <c r="AA404" s="34"/>
      <c r="AB404" s="27"/>
      <c r="AC404" s="11"/>
      <c r="AD404" s="11"/>
      <c r="AE404" s="11"/>
      <c r="AF404" s="11"/>
    </row>
    <row r="405" spans="2:32" ht="11.25" customHeight="1" x14ac:dyDescent="0.35">
      <c r="B405" s="24"/>
      <c r="C405" s="7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34"/>
      <c r="R405" s="27"/>
      <c r="S405" s="10"/>
      <c r="T405" s="10"/>
      <c r="U405" s="10"/>
      <c r="V405" s="10"/>
      <c r="W405" s="10"/>
      <c r="X405" s="10"/>
      <c r="Y405" s="10"/>
      <c r="Z405" s="10"/>
      <c r="AA405" s="34"/>
      <c r="AB405" s="27"/>
      <c r="AC405" s="11"/>
      <c r="AD405" s="11"/>
      <c r="AE405" s="11"/>
      <c r="AF405" s="11"/>
    </row>
    <row r="406" spans="2:32" ht="11.25" customHeight="1" x14ac:dyDescent="0.35">
      <c r="B406" s="24"/>
      <c r="C406" s="7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34"/>
      <c r="R406" s="27"/>
      <c r="S406" s="10"/>
      <c r="T406" s="10"/>
      <c r="U406" s="10"/>
      <c r="V406" s="10"/>
      <c r="W406" s="10"/>
      <c r="X406" s="10"/>
      <c r="Y406" s="10"/>
      <c r="Z406" s="10"/>
      <c r="AA406" s="34"/>
      <c r="AB406" s="27"/>
      <c r="AC406" s="11"/>
      <c r="AD406" s="11"/>
      <c r="AE406" s="11"/>
      <c r="AF406" s="11"/>
    </row>
    <row r="407" spans="2:32" ht="11.25" customHeight="1" x14ac:dyDescent="0.35">
      <c r="B407" s="24"/>
      <c r="C407" s="7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34"/>
      <c r="R407" s="27"/>
      <c r="S407" s="10"/>
      <c r="T407" s="10"/>
      <c r="U407" s="10"/>
      <c r="V407" s="10"/>
      <c r="W407" s="10"/>
      <c r="X407" s="10"/>
      <c r="Y407" s="10"/>
      <c r="Z407" s="10"/>
      <c r="AA407" s="34"/>
      <c r="AB407" s="27"/>
      <c r="AC407" s="11"/>
      <c r="AD407" s="11"/>
      <c r="AE407" s="11"/>
      <c r="AF407" s="11"/>
    </row>
    <row r="408" spans="2:32" ht="11.25" customHeight="1" x14ac:dyDescent="0.35">
      <c r="B408" s="24"/>
      <c r="C408" s="7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34"/>
      <c r="R408" s="27"/>
      <c r="S408" s="10"/>
      <c r="T408" s="10"/>
      <c r="U408" s="10"/>
      <c r="V408" s="10"/>
      <c r="W408" s="10"/>
      <c r="X408" s="10"/>
      <c r="Y408" s="10"/>
      <c r="Z408" s="10"/>
      <c r="AA408" s="34"/>
      <c r="AB408" s="27"/>
      <c r="AC408" s="11"/>
      <c r="AD408" s="11"/>
      <c r="AE408" s="11"/>
      <c r="AF408" s="11"/>
    </row>
    <row r="409" spans="2:32" ht="11.25" customHeight="1" x14ac:dyDescent="0.35">
      <c r="B409" s="24"/>
      <c r="C409" s="7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34"/>
      <c r="R409" s="27"/>
      <c r="S409" s="10"/>
      <c r="T409" s="10"/>
      <c r="U409" s="10"/>
      <c r="V409" s="10"/>
      <c r="W409" s="10"/>
      <c r="X409" s="10"/>
      <c r="Y409" s="10"/>
      <c r="Z409" s="10"/>
      <c r="AA409" s="34"/>
      <c r="AB409" s="27"/>
      <c r="AC409" s="11"/>
      <c r="AD409" s="11"/>
      <c r="AE409" s="11"/>
      <c r="AF409" s="11"/>
    </row>
    <row r="410" spans="2:32" ht="11.25" customHeight="1" x14ac:dyDescent="0.35">
      <c r="B410" s="24"/>
      <c r="C410" s="7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34"/>
      <c r="R410" s="27"/>
      <c r="S410" s="10"/>
      <c r="T410" s="10"/>
      <c r="U410" s="10"/>
      <c r="V410" s="10"/>
      <c r="W410" s="10"/>
      <c r="X410" s="10"/>
      <c r="Y410" s="10"/>
      <c r="Z410" s="10"/>
      <c r="AA410" s="34"/>
      <c r="AB410" s="27"/>
      <c r="AC410" s="11"/>
      <c r="AD410" s="11"/>
      <c r="AE410" s="11"/>
      <c r="AF410" s="11"/>
    </row>
    <row r="411" spans="2:32" ht="11.25" customHeight="1" x14ac:dyDescent="0.35">
      <c r="B411" s="24"/>
      <c r="C411" s="7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34"/>
      <c r="R411" s="27"/>
      <c r="S411" s="10"/>
      <c r="T411" s="10"/>
      <c r="U411" s="10"/>
      <c r="V411" s="10"/>
      <c r="W411" s="10"/>
      <c r="X411" s="10"/>
      <c r="Y411" s="10"/>
      <c r="Z411" s="10"/>
      <c r="AA411" s="34"/>
      <c r="AB411" s="27"/>
      <c r="AC411" s="11"/>
      <c r="AD411" s="11"/>
      <c r="AE411" s="11"/>
      <c r="AF411" s="11"/>
    </row>
    <row r="412" spans="2:32" ht="11.25" customHeight="1" x14ac:dyDescent="0.35">
      <c r="B412" s="24"/>
      <c r="C412" s="7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34"/>
      <c r="R412" s="27"/>
      <c r="S412" s="10"/>
      <c r="T412" s="10"/>
      <c r="U412" s="10"/>
      <c r="V412" s="10"/>
      <c r="W412" s="10"/>
      <c r="X412" s="10"/>
      <c r="Y412" s="10"/>
      <c r="Z412" s="10"/>
      <c r="AA412" s="34"/>
      <c r="AB412" s="27"/>
      <c r="AC412" s="11"/>
      <c r="AD412" s="11"/>
      <c r="AE412" s="11"/>
      <c r="AF412" s="11"/>
    </row>
    <row r="413" spans="2:32" ht="11.25" customHeight="1" x14ac:dyDescent="0.35">
      <c r="B413" s="24"/>
      <c r="C413" s="7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34"/>
      <c r="R413" s="27"/>
      <c r="S413" s="10"/>
      <c r="T413" s="10"/>
      <c r="U413" s="10"/>
      <c r="V413" s="10"/>
      <c r="W413" s="10"/>
      <c r="X413" s="10"/>
      <c r="Y413" s="10"/>
      <c r="Z413" s="10"/>
      <c r="AA413" s="34"/>
      <c r="AB413" s="27"/>
      <c r="AC413" s="11"/>
      <c r="AD413" s="11"/>
      <c r="AE413" s="11"/>
      <c r="AF413" s="11"/>
    </row>
    <row r="414" spans="2:32" ht="11.25" customHeight="1" x14ac:dyDescent="0.35">
      <c r="B414" s="24"/>
      <c r="C414" s="7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34"/>
      <c r="R414" s="27"/>
      <c r="S414" s="10"/>
      <c r="T414" s="10"/>
      <c r="U414" s="10"/>
      <c r="V414" s="10"/>
      <c r="W414" s="10"/>
      <c r="X414" s="10"/>
      <c r="Y414" s="10"/>
      <c r="Z414" s="10"/>
      <c r="AA414" s="34"/>
      <c r="AB414" s="27"/>
      <c r="AC414" s="11"/>
      <c r="AD414" s="11"/>
      <c r="AE414" s="11"/>
      <c r="AF414" s="11"/>
    </row>
    <row r="415" spans="2:32" ht="11.25" customHeight="1" x14ac:dyDescent="0.35">
      <c r="B415" s="24"/>
      <c r="C415" s="7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34"/>
      <c r="R415" s="27"/>
      <c r="S415" s="10"/>
      <c r="T415" s="10"/>
      <c r="U415" s="10"/>
      <c r="V415" s="10"/>
      <c r="W415" s="10"/>
      <c r="X415" s="10"/>
      <c r="Y415" s="10"/>
      <c r="Z415" s="10"/>
      <c r="AA415" s="34"/>
      <c r="AB415" s="27"/>
      <c r="AC415" s="11"/>
      <c r="AD415" s="11"/>
      <c r="AE415" s="11"/>
      <c r="AF415" s="11"/>
    </row>
    <row r="416" spans="2:32" ht="11.25" customHeight="1" x14ac:dyDescent="0.35">
      <c r="B416" s="24"/>
      <c r="C416" s="7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34"/>
      <c r="R416" s="27"/>
      <c r="S416" s="10"/>
      <c r="T416" s="10"/>
      <c r="U416" s="10"/>
      <c r="V416" s="10"/>
      <c r="W416" s="10"/>
      <c r="X416" s="10"/>
      <c r="Y416" s="10"/>
      <c r="Z416" s="10"/>
      <c r="AA416" s="34"/>
      <c r="AB416" s="27"/>
      <c r="AC416" s="11"/>
      <c r="AD416" s="11"/>
      <c r="AE416" s="11"/>
      <c r="AF416" s="11"/>
    </row>
    <row r="417" spans="2:32" ht="11.25" customHeight="1" x14ac:dyDescent="0.35">
      <c r="B417" s="24"/>
      <c r="C417" s="7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34"/>
      <c r="R417" s="27"/>
      <c r="S417" s="10"/>
      <c r="T417" s="10"/>
      <c r="U417" s="10"/>
      <c r="V417" s="10"/>
      <c r="W417" s="10"/>
      <c r="X417" s="10"/>
      <c r="Y417" s="10"/>
      <c r="Z417" s="10"/>
      <c r="AA417" s="34"/>
      <c r="AB417" s="27"/>
      <c r="AC417" s="11"/>
      <c r="AD417" s="11"/>
      <c r="AE417" s="11"/>
      <c r="AF417" s="11"/>
    </row>
    <row r="418" spans="2:32" ht="11.25" customHeight="1" x14ac:dyDescent="0.35">
      <c r="B418" s="24"/>
      <c r="C418" s="7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34"/>
      <c r="R418" s="27"/>
      <c r="S418" s="10"/>
      <c r="T418" s="10"/>
      <c r="U418" s="10"/>
      <c r="V418" s="10"/>
      <c r="W418" s="10"/>
      <c r="X418" s="10"/>
      <c r="Y418" s="10"/>
      <c r="Z418" s="10"/>
      <c r="AA418" s="34"/>
      <c r="AB418" s="27"/>
      <c r="AC418" s="11"/>
      <c r="AD418" s="11"/>
      <c r="AE418" s="11"/>
      <c r="AF418" s="11"/>
    </row>
    <row r="419" spans="2:32" ht="11.25" customHeight="1" x14ac:dyDescent="0.35">
      <c r="B419" s="24"/>
      <c r="C419" s="7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34"/>
      <c r="R419" s="27"/>
      <c r="S419" s="10"/>
      <c r="T419" s="10"/>
      <c r="U419" s="10"/>
      <c r="V419" s="10"/>
      <c r="W419" s="10"/>
      <c r="X419" s="10"/>
      <c r="Y419" s="10"/>
      <c r="Z419" s="10"/>
      <c r="AA419" s="34"/>
      <c r="AB419" s="27"/>
      <c r="AC419" s="11"/>
      <c r="AD419" s="11"/>
      <c r="AE419" s="11"/>
      <c r="AF419" s="11"/>
    </row>
    <row r="420" spans="2:32" ht="11.25" customHeight="1" x14ac:dyDescent="0.35">
      <c r="B420" s="24"/>
      <c r="C420" s="7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34"/>
      <c r="R420" s="27"/>
      <c r="S420" s="10"/>
      <c r="T420" s="10"/>
      <c r="U420" s="10"/>
      <c r="V420" s="10"/>
      <c r="W420" s="10"/>
      <c r="X420" s="10"/>
      <c r="Y420" s="10"/>
      <c r="Z420" s="10"/>
      <c r="AA420" s="34"/>
      <c r="AB420" s="27"/>
      <c r="AC420" s="11"/>
      <c r="AD420" s="11"/>
      <c r="AE420" s="11"/>
      <c r="AF420" s="11"/>
    </row>
    <row r="421" spans="2:32" ht="11.25" customHeight="1" x14ac:dyDescent="0.35">
      <c r="B421" s="24"/>
      <c r="C421" s="7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34"/>
      <c r="R421" s="27"/>
      <c r="S421" s="10"/>
      <c r="T421" s="10"/>
      <c r="U421" s="10"/>
      <c r="V421" s="10"/>
      <c r="W421" s="10"/>
      <c r="X421" s="10"/>
      <c r="Y421" s="10"/>
      <c r="Z421" s="10"/>
      <c r="AA421" s="34"/>
      <c r="AB421" s="27"/>
      <c r="AC421" s="11"/>
      <c r="AD421" s="11"/>
      <c r="AE421" s="11"/>
      <c r="AF421" s="11"/>
    </row>
    <row r="422" spans="2:32" ht="11.25" customHeight="1" x14ac:dyDescent="0.35">
      <c r="B422" s="24"/>
      <c r="C422" s="7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34"/>
      <c r="R422" s="27"/>
      <c r="S422" s="10"/>
      <c r="T422" s="10"/>
      <c r="U422" s="10"/>
      <c r="V422" s="10"/>
      <c r="W422" s="10"/>
      <c r="X422" s="10"/>
      <c r="Y422" s="10"/>
      <c r="Z422" s="10"/>
      <c r="AA422" s="34"/>
      <c r="AB422" s="27"/>
      <c r="AC422" s="11"/>
      <c r="AD422" s="11"/>
      <c r="AE422" s="11"/>
      <c r="AF422" s="11"/>
    </row>
    <row r="423" spans="2:32" ht="11.25" customHeight="1" x14ac:dyDescent="0.35">
      <c r="B423" s="24"/>
      <c r="C423" s="7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34"/>
      <c r="R423" s="27"/>
      <c r="S423" s="10"/>
      <c r="T423" s="10"/>
      <c r="U423" s="10"/>
      <c r="V423" s="10"/>
      <c r="W423" s="10"/>
      <c r="X423" s="10"/>
      <c r="Y423" s="10"/>
      <c r="Z423" s="10"/>
      <c r="AA423" s="34"/>
      <c r="AB423" s="27"/>
      <c r="AC423" s="11"/>
      <c r="AD423" s="11"/>
      <c r="AE423" s="11"/>
      <c r="AF423" s="11"/>
    </row>
    <row r="424" spans="2:32" ht="11.25" customHeight="1" x14ac:dyDescent="0.35">
      <c r="B424" s="24"/>
      <c r="C424" s="7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34"/>
      <c r="R424" s="27"/>
      <c r="S424" s="10"/>
      <c r="T424" s="10"/>
      <c r="U424" s="10"/>
      <c r="V424" s="10"/>
      <c r="W424" s="10"/>
      <c r="X424" s="10"/>
      <c r="Y424" s="10"/>
      <c r="Z424" s="10"/>
      <c r="AA424" s="34"/>
      <c r="AB424" s="27"/>
      <c r="AC424" s="11"/>
      <c r="AD424" s="11"/>
      <c r="AE424" s="11"/>
      <c r="AF424" s="11"/>
    </row>
    <row r="425" spans="2:32" ht="11.25" customHeight="1" x14ac:dyDescent="0.35">
      <c r="B425" s="24"/>
      <c r="C425" s="7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34"/>
      <c r="R425" s="27"/>
      <c r="S425" s="10"/>
      <c r="T425" s="10"/>
      <c r="U425" s="10"/>
      <c r="V425" s="10"/>
      <c r="W425" s="10"/>
      <c r="X425" s="10"/>
      <c r="Y425" s="10"/>
      <c r="Z425" s="10"/>
      <c r="AA425" s="34"/>
      <c r="AB425" s="27"/>
      <c r="AC425" s="11"/>
      <c r="AD425" s="11"/>
      <c r="AE425" s="11"/>
      <c r="AF425" s="11"/>
    </row>
    <row r="426" spans="2:32" ht="11.25" customHeight="1" x14ac:dyDescent="0.35">
      <c r="B426" s="24"/>
      <c r="C426" s="7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34"/>
      <c r="R426" s="27"/>
      <c r="S426" s="10"/>
      <c r="T426" s="10"/>
      <c r="U426" s="10"/>
      <c r="V426" s="10"/>
      <c r="W426" s="10"/>
      <c r="X426" s="10"/>
      <c r="Y426" s="10"/>
      <c r="Z426" s="10"/>
      <c r="AA426" s="34"/>
      <c r="AB426" s="27"/>
      <c r="AC426" s="11"/>
      <c r="AD426" s="11"/>
      <c r="AE426" s="11"/>
      <c r="AF426" s="11"/>
    </row>
    <row r="427" spans="2:32" ht="11.25" customHeight="1" x14ac:dyDescent="0.35">
      <c r="B427" s="24"/>
      <c r="C427" s="7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34"/>
      <c r="R427" s="27"/>
      <c r="S427" s="10"/>
      <c r="T427" s="10"/>
      <c r="U427" s="10"/>
      <c r="V427" s="10"/>
      <c r="W427" s="10"/>
      <c r="X427" s="10"/>
      <c r="Y427" s="10"/>
      <c r="Z427" s="10"/>
      <c r="AA427" s="34"/>
      <c r="AB427" s="27"/>
      <c r="AC427" s="11"/>
      <c r="AD427" s="11"/>
      <c r="AE427" s="11"/>
      <c r="AF427" s="11"/>
    </row>
    <row r="428" spans="2:32" ht="11.25" customHeight="1" x14ac:dyDescent="0.35">
      <c r="B428" s="24"/>
      <c r="C428" s="7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34"/>
      <c r="R428" s="27"/>
      <c r="S428" s="10"/>
      <c r="T428" s="10"/>
      <c r="U428" s="10"/>
      <c r="V428" s="10"/>
      <c r="W428" s="10"/>
      <c r="X428" s="10"/>
      <c r="Y428" s="10"/>
      <c r="Z428" s="10"/>
      <c r="AA428" s="34"/>
      <c r="AB428" s="27"/>
      <c r="AC428" s="11"/>
      <c r="AD428" s="11"/>
      <c r="AE428" s="11"/>
      <c r="AF428" s="11"/>
    </row>
    <row r="429" spans="2:32" ht="11.25" customHeight="1" x14ac:dyDescent="0.35">
      <c r="B429" s="24"/>
      <c r="C429" s="7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34"/>
      <c r="R429" s="27"/>
      <c r="S429" s="10"/>
      <c r="T429" s="10"/>
      <c r="U429" s="10"/>
      <c r="V429" s="10"/>
      <c r="W429" s="10"/>
      <c r="X429" s="10"/>
      <c r="Y429" s="10"/>
      <c r="Z429" s="10"/>
      <c r="AA429" s="34"/>
      <c r="AB429" s="27"/>
      <c r="AC429" s="11"/>
      <c r="AD429" s="11"/>
      <c r="AE429" s="11"/>
      <c r="AF429" s="11"/>
    </row>
    <row r="430" spans="2:32" ht="11.25" customHeight="1" x14ac:dyDescent="0.35">
      <c r="B430" s="24"/>
      <c r="C430" s="7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34"/>
      <c r="R430" s="27"/>
      <c r="S430" s="10"/>
      <c r="T430" s="10"/>
      <c r="U430" s="10"/>
      <c r="V430" s="10"/>
      <c r="W430" s="10"/>
      <c r="X430" s="10"/>
      <c r="Y430" s="10"/>
      <c r="Z430" s="10"/>
      <c r="AA430" s="34"/>
      <c r="AB430" s="27"/>
      <c r="AC430" s="11"/>
      <c r="AD430" s="11"/>
      <c r="AE430" s="11"/>
      <c r="AF430" s="11"/>
    </row>
    <row r="431" spans="2:32" ht="11.25" customHeight="1" x14ac:dyDescent="0.35">
      <c r="B431" s="24"/>
      <c r="C431" s="7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34"/>
      <c r="R431" s="27"/>
      <c r="S431" s="10"/>
      <c r="T431" s="10"/>
      <c r="U431" s="10"/>
      <c r="V431" s="10"/>
      <c r="W431" s="10"/>
      <c r="X431" s="10"/>
      <c r="Y431" s="10"/>
      <c r="Z431" s="10"/>
      <c r="AA431" s="34"/>
      <c r="AB431" s="27"/>
      <c r="AC431" s="11"/>
      <c r="AD431" s="11"/>
      <c r="AE431" s="11"/>
      <c r="AF431" s="11"/>
    </row>
    <row r="432" spans="2:32" ht="11.25" customHeight="1" x14ac:dyDescent="0.35">
      <c r="B432" s="24"/>
      <c r="C432" s="7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34"/>
      <c r="R432" s="27"/>
      <c r="S432" s="10"/>
      <c r="T432" s="10"/>
      <c r="U432" s="10"/>
      <c r="V432" s="10"/>
      <c r="W432" s="10"/>
      <c r="X432" s="10"/>
      <c r="Y432" s="10"/>
      <c r="Z432" s="10"/>
      <c r="AA432" s="34"/>
      <c r="AB432" s="27"/>
      <c r="AC432" s="11"/>
      <c r="AD432" s="11"/>
      <c r="AE432" s="11"/>
      <c r="AF432" s="11"/>
    </row>
    <row r="433" spans="2:32" ht="11.25" customHeight="1" x14ac:dyDescent="0.35">
      <c r="B433" s="24"/>
      <c r="C433" s="7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34"/>
      <c r="R433" s="27"/>
      <c r="S433" s="10"/>
      <c r="T433" s="10"/>
      <c r="U433" s="10"/>
      <c r="V433" s="10"/>
      <c r="W433" s="10"/>
      <c r="X433" s="10"/>
      <c r="Y433" s="10"/>
      <c r="Z433" s="10"/>
      <c r="AA433" s="34"/>
      <c r="AB433" s="27"/>
      <c r="AC433" s="11"/>
      <c r="AD433" s="11"/>
      <c r="AE433" s="11"/>
      <c r="AF433" s="11"/>
    </row>
    <row r="434" spans="2:32" ht="11.25" customHeight="1" x14ac:dyDescent="0.35">
      <c r="B434" s="24"/>
      <c r="C434" s="7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34"/>
      <c r="R434" s="27"/>
      <c r="S434" s="10"/>
      <c r="T434" s="10"/>
      <c r="U434" s="10"/>
      <c r="V434" s="10"/>
      <c r="W434" s="10"/>
      <c r="X434" s="10"/>
      <c r="Y434" s="10"/>
      <c r="Z434" s="10"/>
      <c r="AA434" s="34"/>
      <c r="AB434" s="27"/>
      <c r="AC434" s="11"/>
      <c r="AD434" s="11"/>
      <c r="AE434" s="11"/>
      <c r="AF434" s="11"/>
    </row>
    <row r="435" spans="2:32" ht="11.25" customHeight="1" x14ac:dyDescent="0.35">
      <c r="B435" s="24"/>
      <c r="C435" s="7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34"/>
      <c r="R435" s="27"/>
      <c r="S435" s="10"/>
      <c r="T435" s="10"/>
      <c r="U435" s="10"/>
      <c r="V435" s="10"/>
      <c r="W435" s="10"/>
      <c r="X435" s="10"/>
      <c r="Y435" s="10"/>
      <c r="Z435" s="10"/>
      <c r="AA435" s="34"/>
      <c r="AB435" s="27"/>
      <c r="AC435" s="11"/>
      <c r="AD435" s="11"/>
      <c r="AE435" s="11"/>
      <c r="AF435" s="11"/>
    </row>
    <row r="436" spans="2:32" ht="11.25" customHeight="1" x14ac:dyDescent="0.35">
      <c r="B436" s="24"/>
      <c r="C436" s="7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34"/>
      <c r="R436" s="27"/>
      <c r="S436" s="10"/>
      <c r="T436" s="10"/>
      <c r="U436" s="10"/>
      <c r="V436" s="10"/>
      <c r="W436" s="10"/>
      <c r="X436" s="10"/>
      <c r="Y436" s="10"/>
      <c r="Z436" s="10"/>
      <c r="AA436" s="34"/>
      <c r="AB436" s="27"/>
      <c r="AC436" s="11"/>
      <c r="AD436" s="11"/>
      <c r="AE436" s="11"/>
      <c r="AF436" s="11"/>
    </row>
    <row r="437" spans="2:32" ht="11.25" customHeight="1" x14ac:dyDescent="0.35">
      <c r="B437" s="24"/>
      <c r="C437" s="7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34"/>
      <c r="R437" s="27"/>
      <c r="S437" s="10"/>
      <c r="T437" s="10"/>
      <c r="U437" s="10"/>
      <c r="V437" s="10"/>
      <c r="W437" s="10"/>
      <c r="X437" s="10"/>
      <c r="Y437" s="10"/>
      <c r="Z437" s="10"/>
      <c r="AA437" s="34"/>
      <c r="AB437" s="27"/>
      <c r="AC437" s="11"/>
      <c r="AD437" s="11"/>
      <c r="AE437" s="11"/>
      <c r="AF437" s="11"/>
    </row>
    <row r="438" spans="2:32" ht="11.25" customHeight="1" x14ac:dyDescent="0.35">
      <c r="B438" s="24"/>
      <c r="C438" s="7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34"/>
      <c r="R438" s="27"/>
      <c r="S438" s="10"/>
      <c r="T438" s="10"/>
      <c r="U438" s="10"/>
      <c r="V438" s="10"/>
      <c r="W438" s="10"/>
      <c r="X438" s="10"/>
      <c r="Y438" s="10"/>
      <c r="Z438" s="10"/>
      <c r="AA438" s="34"/>
      <c r="AB438" s="27"/>
      <c r="AC438" s="11"/>
      <c r="AD438" s="11"/>
      <c r="AE438" s="11"/>
      <c r="AF438" s="11"/>
    </row>
    <row r="439" spans="2:32" ht="11.25" customHeight="1" x14ac:dyDescent="0.35">
      <c r="B439" s="24"/>
      <c r="C439" s="7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34"/>
      <c r="R439" s="27"/>
      <c r="S439" s="10"/>
      <c r="T439" s="10"/>
      <c r="U439" s="10"/>
      <c r="V439" s="10"/>
      <c r="W439" s="10"/>
      <c r="X439" s="10"/>
      <c r="Y439" s="10"/>
      <c r="Z439" s="10"/>
      <c r="AA439" s="34"/>
      <c r="AB439" s="27"/>
      <c r="AC439" s="11"/>
      <c r="AD439" s="11"/>
      <c r="AE439" s="11"/>
      <c r="AF439" s="11"/>
    </row>
    <row r="440" spans="2:32" ht="11.25" customHeight="1" x14ac:dyDescent="0.35">
      <c r="B440" s="24"/>
      <c r="C440" s="7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34"/>
      <c r="R440" s="27"/>
      <c r="S440" s="10"/>
      <c r="T440" s="10"/>
      <c r="U440" s="10"/>
      <c r="V440" s="10"/>
      <c r="W440" s="10"/>
      <c r="X440" s="10"/>
      <c r="Y440" s="10"/>
      <c r="Z440" s="10"/>
      <c r="AA440" s="34"/>
      <c r="AB440" s="27"/>
      <c r="AC440" s="11"/>
      <c r="AD440" s="11"/>
      <c r="AE440" s="11"/>
      <c r="AF440" s="11"/>
    </row>
    <row r="441" spans="2:32" ht="11.25" customHeight="1" x14ac:dyDescent="0.35">
      <c r="B441" s="24"/>
      <c r="C441" s="7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34"/>
      <c r="R441" s="27"/>
      <c r="S441" s="10"/>
      <c r="T441" s="10"/>
      <c r="U441" s="10"/>
      <c r="V441" s="10"/>
      <c r="W441" s="10"/>
      <c r="X441" s="10"/>
      <c r="Y441" s="10"/>
      <c r="Z441" s="10"/>
      <c r="AA441" s="34"/>
      <c r="AB441" s="27"/>
      <c r="AC441" s="11"/>
      <c r="AD441" s="11"/>
      <c r="AE441" s="11"/>
      <c r="AF441" s="11"/>
    </row>
    <row r="442" spans="2:32" ht="11.25" customHeight="1" x14ac:dyDescent="0.35">
      <c r="B442" s="24"/>
      <c r="C442" s="7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34"/>
      <c r="R442" s="27"/>
      <c r="S442" s="10"/>
      <c r="T442" s="10"/>
      <c r="U442" s="10"/>
      <c r="V442" s="10"/>
      <c r="W442" s="10"/>
      <c r="X442" s="10"/>
      <c r="Y442" s="10"/>
      <c r="Z442" s="10"/>
      <c r="AA442" s="34"/>
      <c r="AB442" s="27"/>
      <c r="AC442" s="11"/>
      <c r="AD442" s="11"/>
      <c r="AE442" s="11"/>
      <c r="AF442" s="11"/>
    </row>
    <row r="443" spans="2:32" ht="11.25" customHeight="1" x14ac:dyDescent="0.35">
      <c r="B443" s="24"/>
      <c r="C443" s="7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34"/>
      <c r="R443" s="27"/>
      <c r="S443" s="10"/>
      <c r="T443" s="10"/>
      <c r="U443" s="10"/>
      <c r="V443" s="10"/>
      <c r="W443" s="10"/>
      <c r="X443" s="10"/>
      <c r="Y443" s="10"/>
      <c r="Z443" s="10"/>
      <c r="AA443" s="34"/>
      <c r="AB443" s="27"/>
      <c r="AC443" s="11"/>
      <c r="AD443" s="11"/>
      <c r="AE443" s="11"/>
      <c r="AF443" s="11"/>
    </row>
    <row r="444" spans="2:32" ht="11.25" customHeight="1" x14ac:dyDescent="0.35">
      <c r="B444" s="24"/>
      <c r="C444" s="7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34"/>
      <c r="R444" s="27"/>
      <c r="S444" s="10"/>
      <c r="T444" s="10"/>
      <c r="U444" s="10"/>
      <c r="V444" s="10"/>
      <c r="W444" s="10"/>
      <c r="X444" s="10"/>
      <c r="Y444" s="10"/>
      <c r="Z444" s="10"/>
      <c r="AA444" s="34"/>
      <c r="AB444" s="27"/>
      <c r="AC444" s="11"/>
      <c r="AD444" s="11"/>
      <c r="AE444" s="11"/>
      <c r="AF444" s="11"/>
    </row>
    <row r="445" spans="2:32" ht="11.25" customHeight="1" x14ac:dyDescent="0.35">
      <c r="B445" s="24"/>
      <c r="C445" s="7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34"/>
      <c r="R445" s="27"/>
      <c r="S445" s="10"/>
      <c r="T445" s="10"/>
      <c r="U445" s="10"/>
      <c r="V445" s="10"/>
      <c r="W445" s="10"/>
      <c r="X445" s="10"/>
      <c r="Y445" s="10"/>
      <c r="Z445" s="10"/>
      <c r="AA445" s="34"/>
      <c r="AB445" s="27"/>
      <c r="AC445" s="11"/>
      <c r="AD445" s="11"/>
      <c r="AE445" s="11"/>
      <c r="AF445" s="11"/>
    </row>
    <row r="446" spans="2:32" ht="11.25" customHeight="1" x14ac:dyDescent="0.35">
      <c r="B446" s="24"/>
      <c r="C446" s="7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34"/>
      <c r="R446" s="27"/>
      <c r="S446" s="10"/>
      <c r="T446" s="10"/>
      <c r="U446" s="10"/>
      <c r="V446" s="10"/>
      <c r="W446" s="10"/>
      <c r="X446" s="10"/>
      <c r="Y446" s="10"/>
      <c r="Z446" s="10"/>
      <c r="AA446" s="34"/>
      <c r="AB446" s="27"/>
      <c r="AC446" s="11"/>
      <c r="AD446" s="11"/>
      <c r="AE446" s="11"/>
      <c r="AF446" s="11"/>
    </row>
    <row r="447" spans="2:32" ht="11.25" customHeight="1" x14ac:dyDescent="0.35">
      <c r="B447" s="24"/>
      <c r="C447" s="7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34"/>
      <c r="R447" s="27"/>
      <c r="S447" s="10"/>
      <c r="T447" s="10"/>
      <c r="U447" s="10"/>
      <c r="V447" s="10"/>
      <c r="W447" s="10"/>
      <c r="X447" s="10"/>
      <c r="Y447" s="10"/>
      <c r="Z447" s="10"/>
      <c r="AA447" s="34"/>
      <c r="AB447" s="27"/>
      <c r="AC447" s="11"/>
      <c r="AD447" s="11"/>
      <c r="AE447" s="11"/>
      <c r="AF447" s="11"/>
    </row>
    <row r="448" spans="2:32" ht="11.25" customHeight="1" x14ac:dyDescent="0.35">
      <c r="B448" s="24"/>
      <c r="C448" s="7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34"/>
      <c r="R448" s="27"/>
      <c r="S448" s="10"/>
      <c r="T448" s="10"/>
      <c r="U448" s="10"/>
      <c r="V448" s="10"/>
      <c r="W448" s="10"/>
      <c r="X448" s="10"/>
      <c r="Y448" s="10"/>
      <c r="Z448" s="10"/>
      <c r="AA448" s="34"/>
      <c r="AB448" s="27"/>
      <c r="AC448" s="11"/>
      <c r="AD448" s="11"/>
      <c r="AE448" s="11"/>
      <c r="AF448" s="11"/>
    </row>
    <row r="449" spans="2:32" ht="11.25" customHeight="1" x14ac:dyDescent="0.35">
      <c r="B449" s="24"/>
      <c r="C449" s="7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34"/>
      <c r="R449" s="27"/>
      <c r="S449" s="10"/>
      <c r="T449" s="10"/>
      <c r="U449" s="10"/>
      <c r="V449" s="10"/>
      <c r="W449" s="10"/>
      <c r="X449" s="10"/>
      <c r="Y449" s="10"/>
      <c r="Z449" s="10"/>
      <c r="AA449" s="34"/>
      <c r="AB449" s="27"/>
      <c r="AC449" s="11"/>
      <c r="AD449" s="11"/>
      <c r="AE449" s="11"/>
      <c r="AF449" s="11"/>
    </row>
    <row r="450" spans="2:32" ht="11.25" customHeight="1" x14ac:dyDescent="0.35">
      <c r="B450" s="24"/>
      <c r="C450" s="7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34"/>
      <c r="R450" s="27"/>
      <c r="S450" s="10"/>
      <c r="T450" s="10"/>
      <c r="U450" s="10"/>
      <c r="V450" s="10"/>
      <c r="W450" s="10"/>
      <c r="X450" s="10"/>
      <c r="Y450" s="10"/>
      <c r="Z450" s="10"/>
      <c r="AA450" s="34"/>
      <c r="AB450" s="27"/>
      <c r="AC450" s="11"/>
      <c r="AD450" s="11"/>
      <c r="AE450" s="11"/>
      <c r="AF450" s="11"/>
    </row>
    <row r="451" spans="2:32" ht="11.25" customHeight="1" x14ac:dyDescent="0.35">
      <c r="B451" s="24"/>
      <c r="C451" s="7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34"/>
      <c r="R451" s="27"/>
      <c r="S451" s="10"/>
      <c r="T451" s="10"/>
      <c r="U451" s="10"/>
      <c r="V451" s="10"/>
      <c r="W451" s="10"/>
      <c r="X451" s="10"/>
      <c r="Y451" s="10"/>
      <c r="Z451" s="10"/>
      <c r="AA451" s="34"/>
      <c r="AB451" s="27"/>
      <c r="AC451" s="11"/>
      <c r="AD451" s="11"/>
      <c r="AE451" s="11"/>
      <c r="AF451" s="11"/>
    </row>
    <row r="452" spans="2:32" ht="11.25" customHeight="1" x14ac:dyDescent="0.35">
      <c r="B452" s="24"/>
      <c r="C452" s="7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34"/>
      <c r="R452" s="27"/>
      <c r="S452" s="10"/>
      <c r="T452" s="10"/>
      <c r="U452" s="10"/>
      <c r="V452" s="10"/>
      <c r="W452" s="10"/>
      <c r="X452" s="10"/>
      <c r="Y452" s="10"/>
      <c r="Z452" s="10"/>
      <c r="AA452" s="34"/>
      <c r="AB452" s="27"/>
      <c r="AC452" s="11"/>
      <c r="AD452" s="11"/>
      <c r="AE452" s="11"/>
      <c r="AF452" s="11"/>
    </row>
    <row r="453" spans="2:32" ht="11.25" customHeight="1" x14ac:dyDescent="0.35">
      <c r="B453" s="24"/>
      <c r="C453" s="7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34"/>
      <c r="R453" s="27"/>
      <c r="S453" s="10"/>
      <c r="T453" s="10"/>
      <c r="U453" s="10"/>
      <c r="V453" s="10"/>
      <c r="W453" s="10"/>
      <c r="X453" s="10"/>
      <c r="Y453" s="10"/>
      <c r="Z453" s="10"/>
      <c r="AA453" s="34"/>
      <c r="AB453" s="27"/>
      <c r="AC453" s="11"/>
      <c r="AD453" s="11"/>
      <c r="AE453" s="11"/>
      <c r="AF453" s="11"/>
    </row>
    <row r="454" spans="2:32" ht="11.25" customHeight="1" x14ac:dyDescent="0.35">
      <c r="B454" s="24"/>
      <c r="C454" s="7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34"/>
      <c r="R454" s="27"/>
      <c r="S454" s="10"/>
      <c r="T454" s="10"/>
      <c r="U454" s="10"/>
      <c r="V454" s="10"/>
      <c r="W454" s="10"/>
      <c r="X454" s="10"/>
      <c r="Y454" s="10"/>
      <c r="Z454" s="10"/>
      <c r="AA454" s="34"/>
      <c r="AB454" s="27"/>
      <c r="AC454" s="11"/>
      <c r="AD454" s="11"/>
      <c r="AE454" s="11"/>
      <c r="AF454" s="11"/>
    </row>
    <row r="455" spans="2:32" ht="11.25" customHeight="1" x14ac:dyDescent="0.35">
      <c r="B455" s="24"/>
      <c r="C455" s="7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34"/>
      <c r="R455" s="27"/>
      <c r="S455" s="10"/>
      <c r="T455" s="10"/>
      <c r="U455" s="10"/>
      <c r="V455" s="10"/>
      <c r="W455" s="10"/>
      <c r="X455" s="10"/>
      <c r="Y455" s="10"/>
      <c r="Z455" s="10"/>
      <c r="AA455" s="34"/>
      <c r="AB455" s="27"/>
      <c r="AC455" s="11"/>
      <c r="AD455" s="11"/>
      <c r="AE455" s="11"/>
      <c r="AF455" s="11"/>
    </row>
    <row r="456" spans="2:32" ht="11.25" customHeight="1" x14ac:dyDescent="0.35">
      <c r="B456" s="24"/>
      <c r="C456" s="7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34"/>
      <c r="R456" s="27"/>
      <c r="S456" s="10"/>
      <c r="T456" s="10"/>
      <c r="U456" s="10"/>
      <c r="V456" s="10"/>
      <c r="W456" s="10"/>
      <c r="X456" s="10"/>
      <c r="Y456" s="10"/>
      <c r="Z456" s="10"/>
      <c r="AA456" s="34"/>
      <c r="AB456" s="27"/>
      <c r="AC456" s="11"/>
      <c r="AD456" s="11"/>
      <c r="AE456" s="11"/>
      <c r="AF456" s="11"/>
    </row>
    <row r="457" spans="2:32" ht="11.25" customHeight="1" x14ac:dyDescent="0.35">
      <c r="B457" s="24"/>
      <c r="C457" s="7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34"/>
      <c r="R457" s="27"/>
      <c r="S457" s="10"/>
      <c r="T457" s="10"/>
      <c r="U457" s="10"/>
      <c r="V457" s="10"/>
      <c r="W457" s="10"/>
      <c r="X457" s="10"/>
      <c r="Y457" s="10"/>
      <c r="Z457" s="10"/>
      <c r="AA457" s="34"/>
      <c r="AB457" s="27"/>
      <c r="AC457" s="11"/>
      <c r="AD457" s="11"/>
      <c r="AE457" s="11"/>
      <c r="AF457" s="11"/>
    </row>
    <row r="458" spans="2:32" ht="11.25" customHeight="1" x14ac:dyDescent="0.35">
      <c r="B458" s="24"/>
      <c r="C458" s="7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34"/>
      <c r="R458" s="27"/>
      <c r="S458" s="10"/>
      <c r="T458" s="10"/>
      <c r="U458" s="10"/>
      <c r="V458" s="10"/>
      <c r="W458" s="10"/>
      <c r="X458" s="10"/>
      <c r="Y458" s="10"/>
      <c r="Z458" s="10"/>
      <c r="AA458" s="34"/>
      <c r="AB458" s="27"/>
      <c r="AC458" s="11"/>
      <c r="AD458" s="11"/>
      <c r="AE458" s="11"/>
      <c r="AF458" s="11"/>
    </row>
    <row r="459" spans="2:32" ht="11.25" customHeight="1" x14ac:dyDescent="0.35">
      <c r="B459" s="24"/>
      <c r="C459" s="7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34"/>
      <c r="R459" s="27"/>
      <c r="S459" s="10"/>
      <c r="T459" s="10"/>
      <c r="U459" s="10"/>
      <c r="V459" s="10"/>
      <c r="W459" s="10"/>
      <c r="X459" s="10"/>
      <c r="Y459" s="10"/>
      <c r="Z459" s="10"/>
      <c r="AA459" s="34"/>
      <c r="AB459" s="27"/>
      <c r="AC459" s="11"/>
      <c r="AD459" s="11"/>
      <c r="AE459" s="11"/>
      <c r="AF459" s="11"/>
    </row>
    <row r="460" spans="2:32" ht="11.25" customHeight="1" x14ac:dyDescent="0.35">
      <c r="B460" s="24"/>
      <c r="C460" s="7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34"/>
      <c r="R460" s="27"/>
      <c r="S460" s="10"/>
      <c r="T460" s="10"/>
      <c r="U460" s="10"/>
      <c r="V460" s="10"/>
      <c r="W460" s="10"/>
      <c r="X460" s="10"/>
      <c r="Y460" s="10"/>
      <c r="Z460" s="10"/>
      <c r="AA460" s="34"/>
      <c r="AB460" s="27"/>
      <c r="AC460" s="11"/>
      <c r="AD460" s="11"/>
      <c r="AE460" s="11"/>
      <c r="AF460" s="11"/>
    </row>
    <row r="461" spans="2:32" ht="11.25" customHeight="1" x14ac:dyDescent="0.35">
      <c r="B461" s="24"/>
      <c r="C461" s="7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34"/>
      <c r="R461" s="27"/>
      <c r="S461" s="10"/>
      <c r="T461" s="10"/>
      <c r="U461" s="10"/>
      <c r="V461" s="10"/>
      <c r="W461" s="10"/>
      <c r="X461" s="10"/>
      <c r="Y461" s="10"/>
      <c r="Z461" s="10"/>
      <c r="AA461" s="34"/>
      <c r="AB461" s="27"/>
      <c r="AC461" s="11"/>
      <c r="AD461" s="11"/>
      <c r="AE461" s="11"/>
      <c r="AF461" s="11"/>
    </row>
    <row r="462" spans="2:32" ht="11.25" customHeight="1" x14ac:dyDescent="0.35">
      <c r="B462" s="24"/>
      <c r="C462" s="7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34"/>
      <c r="R462" s="27"/>
      <c r="S462" s="10"/>
      <c r="T462" s="10"/>
      <c r="U462" s="10"/>
      <c r="V462" s="10"/>
      <c r="W462" s="10"/>
      <c r="X462" s="10"/>
      <c r="Y462" s="10"/>
      <c r="Z462" s="10"/>
      <c r="AA462" s="34"/>
      <c r="AB462" s="27"/>
      <c r="AC462" s="11"/>
      <c r="AD462" s="11"/>
      <c r="AE462" s="11"/>
      <c r="AF462" s="11"/>
    </row>
    <row r="463" spans="2:32" ht="11.25" customHeight="1" x14ac:dyDescent="0.35">
      <c r="B463" s="24"/>
      <c r="C463" s="7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34"/>
      <c r="R463" s="27"/>
      <c r="S463" s="10"/>
      <c r="T463" s="10"/>
      <c r="U463" s="10"/>
      <c r="V463" s="10"/>
      <c r="W463" s="10"/>
      <c r="X463" s="10"/>
      <c r="Y463" s="10"/>
      <c r="Z463" s="10"/>
      <c r="AA463" s="34"/>
      <c r="AB463" s="27"/>
      <c r="AC463" s="11"/>
      <c r="AD463" s="11"/>
      <c r="AE463" s="11"/>
      <c r="AF463" s="11"/>
    </row>
    <row r="464" spans="2:32" ht="11.25" customHeight="1" x14ac:dyDescent="0.35">
      <c r="B464" s="24"/>
      <c r="C464" s="7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34"/>
      <c r="R464" s="27"/>
      <c r="S464" s="10"/>
      <c r="T464" s="10"/>
      <c r="U464" s="10"/>
      <c r="V464" s="10"/>
      <c r="W464" s="10"/>
      <c r="X464" s="10"/>
      <c r="Y464" s="10"/>
      <c r="Z464" s="10"/>
      <c r="AA464" s="34"/>
      <c r="AB464" s="27"/>
      <c r="AC464" s="11"/>
      <c r="AD464" s="11"/>
      <c r="AE464" s="11"/>
      <c r="AF464" s="11"/>
    </row>
    <row r="465" spans="2:32" ht="11.25" customHeight="1" x14ac:dyDescent="0.35">
      <c r="B465" s="24"/>
      <c r="C465" s="7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34"/>
      <c r="R465" s="27"/>
      <c r="S465" s="10"/>
      <c r="T465" s="10"/>
      <c r="U465" s="10"/>
      <c r="V465" s="10"/>
      <c r="W465" s="10"/>
      <c r="X465" s="10"/>
      <c r="Y465" s="10"/>
      <c r="Z465" s="10"/>
      <c r="AA465" s="34"/>
      <c r="AB465" s="27"/>
      <c r="AC465" s="11"/>
      <c r="AD465" s="11"/>
      <c r="AE465" s="11"/>
      <c r="AF465" s="11"/>
    </row>
    <row r="466" spans="2:32" ht="11.25" customHeight="1" x14ac:dyDescent="0.35">
      <c r="B466" s="24"/>
      <c r="C466" s="7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34"/>
      <c r="R466" s="27"/>
      <c r="S466" s="10"/>
      <c r="T466" s="10"/>
      <c r="U466" s="10"/>
      <c r="V466" s="10"/>
      <c r="W466" s="10"/>
      <c r="X466" s="10"/>
      <c r="Y466" s="10"/>
      <c r="Z466" s="10"/>
      <c r="AA466" s="34"/>
      <c r="AB466" s="27"/>
      <c r="AC466" s="11"/>
      <c r="AD466" s="11"/>
      <c r="AE466" s="11"/>
      <c r="AF466" s="11"/>
    </row>
    <row r="467" spans="2:32" ht="11.25" customHeight="1" x14ac:dyDescent="0.35">
      <c r="B467" s="24"/>
      <c r="C467" s="7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34"/>
      <c r="R467" s="27"/>
      <c r="S467" s="10"/>
      <c r="T467" s="10"/>
      <c r="U467" s="10"/>
      <c r="V467" s="10"/>
      <c r="W467" s="10"/>
      <c r="X467" s="10"/>
      <c r="Y467" s="10"/>
      <c r="Z467" s="10"/>
      <c r="AA467" s="34"/>
      <c r="AB467" s="27"/>
      <c r="AC467" s="11"/>
      <c r="AD467" s="11"/>
      <c r="AE467" s="11"/>
      <c r="AF467" s="11"/>
    </row>
    <row r="468" spans="2:32" ht="11.25" customHeight="1" x14ac:dyDescent="0.35">
      <c r="B468" s="24"/>
      <c r="C468" s="7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34"/>
      <c r="R468" s="27"/>
      <c r="S468" s="10"/>
      <c r="T468" s="10"/>
      <c r="U468" s="10"/>
      <c r="V468" s="10"/>
      <c r="W468" s="10"/>
      <c r="X468" s="10"/>
      <c r="Y468" s="10"/>
      <c r="Z468" s="10"/>
      <c r="AA468" s="34"/>
      <c r="AB468" s="27"/>
      <c r="AC468" s="11"/>
      <c r="AD468" s="11"/>
      <c r="AE468" s="11"/>
      <c r="AF468" s="11"/>
    </row>
    <row r="469" spans="2:32" ht="11.25" customHeight="1" x14ac:dyDescent="0.35">
      <c r="B469" s="24"/>
      <c r="C469" s="7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34"/>
      <c r="R469" s="27"/>
      <c r="S469" s="10"/>
      <c r="T469" s="10"/>
      <c r="U469" s="10"/>
      <c r="V469" s="10"/>
      <c r="W469" s="10"/>
      <c r="X469" s="10"/>
      <c r="Y469" s="10"/>
      <c r="Z469" s="10"/>
      <c r="AA469" s="34"/>
      <c r="AB469" s="27"/>
      <c r="AC469" s="11"/>
      <c r="AD469" s="11"/>
      <c r="AE469" s="11"/>
      <c r="AF469" s="11"/>
    </row>
    <row r="470" spans="2:32" ht="11.25" customHeight="1" x14ac:dyDescent="0.35">
      <c r="B470" s="24"/>
      <c r="C470" s="7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34"/>
      <c r="R470" s="27"/>
      <c r="S470" s="10"/>
      <c r="T470" s="10"/>
      <c r="U470" s="10"/>
      <c r="V470" s="10"/>
      <c r="W470" s="10"/>
      <c r="X470" s="10"/>
      <c r="Y470" s="10"/>
      <c r="Z470" s="10"/>
      <c r="AA470" s="34"/>
      <c r="AB470" s="27"/>
      <c r="AC470" s="11"/>
      <c r="AD470" s="11"/>
      <c r="AE470" s="11"/>
      <c r="AF470" s="11"/>
    </row>
    <row r="471" spans="2:32" ht="11.25" customHeight="1" x14ac:dyDescent="0.35">
      <c r="B471" s="24"/>
      <c r="C471" s="7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34"/>
      <c r="R471" s="27"/>
      <c r="S471" s="10"/>
      <c r="T471" s="10"/>
      <c r="U471" s="10"/>
      <c r="V471" s="10"/>
      <c r="W471" s="10"/>
      <c r="X471" s="10"/>
      <c r="Y471" s="10"/>
      <c r="Z471" s="10"/>
      <c r="AA471" s="34"/>
      <c r="AB471" s="27"/>
      <c r="AC471" s="11"/>
      <c r="AD471" s="11"/>
      <c r="AE471" s="11"/>
      <c r="AF471" s="11"/>
    </row>
    <row r="472" spans="2:32" ht="11.25" customHeight="1" x14ac:dyDescent="0.35">
      <c r="B472" s="24"/>
      <c r="C472" s="7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34"/>
      <c r="R472" s="27"/>
      <c r="S472" s="10"/>
      <c r="T472" s="10"/>
      <c r="U472" s="10"/>
      <c r="V472" s="10"/>
      <c r="W472" s="10"/>
      <c r="X472" s="10"/>
      <c r="Y472" s="10"/>
      <c r="Z472" s="10"/>
      <c r="AA472" s="34"/>
      <c r="AB472" s="27"/>
      <c r="AC472" s="11"/>
      <c r="AD472" s="11"/>
      <c r="AE472" s="11"/>
      <c r="AF472" s="11"/>
    </row>
    <row r="473" spans="2:32" ht="11.25" customHeight="1" x14ac:dyDescent="0.35">
      <c r="B473" s="24"/>
      <c r="C473" s="7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34"/>
      <c r="R473" s="27"/>
      <c r="S473" s="10"/>
      <c r="T473" s="10"/>
      <c r="U473" s="10"/>
      <c r="V473" s="10"/>
      <c r="W473" s="10"/>
      <c r="X473" s="10"/>
      <c r="Y473" s="10"/>
      <c r="Z473" s="10"/>
      <c r="AA473" s="34"/>
      <c r="AB473" s="27"/>
      <c r="AC473" s="11"/>
      <c r="AD473" s="11"/>
      <c r="AE473" s="11"/>
      <c r="AF473" s="11"/>
    </row>
    <row r="474" spans="2:32" ht="11.25" customHeight="1" x14ac:dyDescent="0.35">
      <c r="B474" s="24"/>
      <c r="C474" s="7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34"/>
      <c r="R474" s="27"/>
      <c r="S474" s="10"/>
      <c r="T474" s="10"/>
      <c r="U474" s="10"/>
      <c r="V474" s="10"/>
      <c r="W474" s="10"/>
      <c r="X474" s="10"/>
      <c r="Y474" s="10"/>
      <c r="Z474" s="10"/>
      <c r="AA474" s="34"/>
      <c r="AB474" s="27"/>
      <c r="AC474" s="11"/>
      <c r="AD474" s="11"/>
      <c r="AE474" s="11"/>
      <c r="AF474" s="11"/>
    </row>
    <row r="475" spans="2:32" ht="11.25" customHeight="1" x14ac:dyDescent="0.35">
      <c r="B475" s="24"/>
      <c r="C475" s="7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34"/>
      <c r="R475" s="27"/>
      <c r="S475" s="10"/>
      <c r="T475" s="10"/>
      <c r="U475" s="10"/>
      <c r="V475" s="10"/>
      <c r="W475" s="10"/>
      <c r="X475" s="10"/>
      <c r="Y475" s="10"/>
      <c r="Z475" s="10"/>
      <c r="AA475" s="34"/>
      <c r="AB475" s="27"/>
      <c r="AC475" s="11"/>
      <c r="AD475" s="11"/>
      <c r="AE475" s="11"/>
      <c r="AF475" s="11"/>
    </row>
    <row r="476" spans="2:32" ht="11.25" customHeight="1" x14ac:dyDescent="0.35">
      <c r="B476" s="24"/>
      <c r="C476" s="7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34"/>
      <c r="R476" s="27"/>
      <c r="S476" s="10"/>
      <c r="T476" s="10"/>
      <c r="U476" s="10"/>
      <c r="V476" s="10"/>
      <c r="W476" s="10"/>
      <c r="X476" s="10"/>
      <c r="Y476" s="10"/>
      <c r="Z476" s="10"/>
      <c r="AA476" s="34"/>
      <c r="AB476" s="27"/>
      <c r="AC476" s="11"/>
      <c r="AD476" s="11"/>
      <c r="AE476" s="11"/>
      <c r="AF476" s="11"/>
    </row>
    <row r="477" spans="2:32" ht="11.25" customHeight="1" x14ac:dyDescent="0.35">
      <c r="B477" s="24"/>
      <c r="C477" s="7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34"/>
      <c r="R477" s="27"/>
      <c r="S477" s="10"/>
      <c r="T477" s="10"/>
      <c r="U477" s="10"/>
      <c r="V477" s="10"/>
      <c r="W477" s="10"/>
      <c r="X477" s="10"/>
      <c r="Y477" s="10"/>
      <c r="Z477" s="10"/>
      <c r="AA477" s="34"/>
      <c r="AB477" s="27"/>
      <c r="AC477" s="11"/>
      <c r="AD477" s="11"/>
      <c r="AE477" s="11"/>
      <c r="AF477" s="11"/>
    </row>
    <row r="478" spans="2:32" ht="11.25" customHeight="1" x14ac:dyDescent="0.35">
      <c r="B478" s="24"/>
      <c r="C478" s="7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34"/>
      <c r="R478" s="27"/>
      <c r="S478" s="10"/>
      <c r="T478" s="10"/>
      <c r="U478" s="10"/>
      <c r="V478" s="10"/>
      <c r="W478" s="10"/>
      <c r="X478" s="10"/>
      <c r="Y478" s="10"/>
      <c r="Z478" s="10"/>
      <c r="AA478" s="34"/>
      <c r="AB478" s="27"/>
      <c r="AC478" s="11"/>
      <c r="AD478" s="11"/>
      <c r="AE478" s="11"/>
      <c r="AF478" s="11"/>
    </row>
    <row r="479" spans="2:32" ht="11.25" customHeight="1" x14ac:dyDescent="0.35">
      <c r="B479" s="24"/>
      <c r="C479" s="7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34"/>
      <c r="R479" s="27"/>
      <c r="S479" s="10"/>
      <c r="T479" s="10"/>
      <c r="U479" s="10"/>
      <c r="V479" s="10"/>
      <c r="W479" s="10"/>
      <c r="X479" s="10"/>
      <c r="Y479" s="10"/>
      <c r="Z479" s="10"/>
      <c r="AA479" s="34"/>
      <c r="AB479" s="27"/>
      <c r="AC479" s="11"/>
      <c r="AD479" s="11"/>
      <c r="AE479" s="11"/>
      <c r="AF479" s="11"/>
    </row>
    <row r="480" spans="2:32" ht="11.25" customHeight="1" x14ac:dyDescent="0.35">
      <c r="B480" s="24"/>
      <c r="C480" s="7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34"/>
      <c r="R480" s="27"/>
      <c r="S480" s="10"/>
      <c r="T480" s="10"/>
      <c r="U480" s="10"/>
      <c r="V480" s="10"/>
      <c r="W480" s="10"/>
      <c r="X480" s="10"/>
      <c r="Y480" s="10"/>
      <c r="Z480" s="10"/>
      <c r="AA480" s="34"/>
      <c r="AB480" s="27"/>
      <c r="AC480" s="11"/>
      <c r="AD480" s="11"/>
      <c r="AE480" s="11"/>
      <c r="AF480" s="11"/>
    </row>
    <row r="481" spans="2:32" ht="11.25" customHeight="1" x14ac:dyDescent="0.35">
      <c r="B481" s="24"/>
      <c r="C481" s="7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34"/>
      <c r="R481" s="27"/>
      <c r="S481" s="10"/>
      <c r="T481" s="10"/>
      <c r="U481" s="10"/>
      <c r="V481" s="10"/>
      <c r="W481" s="10"/>
      <c r="X481" s="10"/>
      <c r="Y481" s="10"/>
      <c r="Z481" s="10"/>
      <c r="AA481" s="34"/>
      <c r="AB481" s="27"/>
      <c r="AC481" s="11"/>
      <c r="AD481" s="11"/>
      <c r="AE481" s="11"/>
      <c r="AF481" s="11"/>
    </row>
    <row r="482" spans="2:32" ht="11.25" customHeight="1" x14ac:dyDescent="0.35">
      <c r="B482" s="24"/>
      <c r="C482" s="7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34"/>
      <c r="R482" s="27"/>
      <c r="S482" s="10"/>
      <c r="T482" s="10"/>
      <c r="U482" s="10"/>
      <c r="V482" s="10"/>
      <c r="W482" s="10"/>
      <c r="X482" s="10"/>
      <c r="Y482" s="10"/>
      <c r="Z482" s="10"/>
      <c r="AA482" s="34"/>
      <c r="AB482" s="27"/>
      <c r="AC482" s="11"/>
      <c r="AD482" s="11"/>
      <c r="AE482" s="11"/>
      <c r="AF482" s="11"/>
    </row>
    <row r="483" spans="2:32" ht="11.25" customHeight="1" x14ac:dyDescent="0.35">
      <c r="B483" s="24"/>
      <c r="C483" s="7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34"/>
      <c r="R483" s="27"/>
      <c r="S483" s="10"/>
      <c r="T483" s="10"/>
      <c r="U483" s="10"/>
      <c r="V483" s="10"/>
      <c r="W483" s="10"/>
      <c r="X483" s="10"/>
      <c r="Y483" s="10"/>
      <c r="Z483" s="10"/>
      <c r="AA483" s="34"/>
      <c r="AB483" s="27"/>
      <c r="AC483" s="11"/>
      <c r="AD483" s="11"/>
      <c r="AE483" s="11"/>
      <c r="AF483" s="11"/>
    </row>
    <row r="484" spans="2:32" ht="11.25" customHeight="1" x14ac:dyDescent="0.35">
      <c r="B484" s="24"/>
      <c r="C484" s="7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34"/>
      <c r="R484" s="27"/>
      <c r="S484" s="10"/>
      <c r="T484" s="10"/>
      <c r="U484" s="10"/>
      <c r="V484" s="10"/>
      <c r="W484" s="10"/>
      <c r="X484" s="10"/>
      <c r="Y484" s="10"/>
      <c r="Z484" s="10"/>
      <c r="AA484" s="34"/>
      <c r="AB484" s="27"/>
      <c r="AC484" s="11"/>
      <c r="AD484" s="11"/>
      <c r="AE484" s="11"/>
      <c r="AF484" s="11"/>
    </row>
    <row r="485" spans="2:32" ht="11.25" customHeight="1" x14ac:dyDescent="0.35">
      <c r="B485" s="24"/>
      <c r="C485" s="7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34"/>
      <c r="R485" s="27"/>
      <c r="S485" s="10"/>
      <c r="T485" s="10"/>
      <c r="U485" s="10"/>
      <c r="V485" s="10"/>
      <c r="W485" s="10"/>
      <c r="X485" s="10"/>
      <c r="Y485" s="10"/>
      <c r="Z485" s="10"/>
      <c r="AA485" s="34"/>
      <c r="AB485" s="27"/>
      <c r="AC485" s="11"/>
      <c r="AD485" s="11"/>
      <c r="AE485" s="11"/>
      <c r="AF485" s="11"/>
    </row>
    <row r="486" spans="2:32" ht="11.25" customHeight="1" x14ac:dyDescent="0.35">
      <c r="B486" s="24"/>
      <c r="C486" s="7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34"/>
      <c r="R486" s="27"/>
      <c r="S486" s="10"/>
      <c r="T486" s="10"/>
      <c r="U486" s="10"/>
      <c r="V486" s="10"/>
      <c r="W486" s="10"/>
      <c r="X486" s="10"/>
      <c r="Y486" s="10"/>
      <c r="Z486" s="10"/>
      <c r="AA486" s="34"/>
      <c r="AB486" s="27"/>
      <c r="AC486" s="11"/>
      <c r="AD486" s="11"/>
      <c r="AE486" s="11"/>
      <c r="AF486" s="11"/>
    </row>
    <row r="487" spans="2:32" ht="11.25" customHeight="1" x14ac:dyDescent="0.35">
      <c r="B487" s="24"/>
      <c r="C487" s="7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34"/>
      <c r="R487" s="27"/>
      <c r="S487" s="10"/>
      <c r="T487" s="10"/>
      <c r="U487" s="10"/>
      <c r="V487" s="10"/>
      <c r="W487" s="10"/>
      <c r="X487" s="10"/>
      <c r="Y487" s="10"/>
      <c r="Z487" s="10"/>
      <c r="AA487" s="34"/>
      <c r="AB487" s="27"/>
      <c r="AC487" s="11"/>
      <c r="AD487" s="11"/>
      <c r="AE487" s="11"/>
      <c r="AF487" s="11"/>
    </row>
    <row r="488" spans="2:32" ht="11.25" customHeight="1" x14ac:dyDescent="0.35">
      <c r="B488" s="24"/>
      <c r="C488" s="7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34"/>
      <c r="R488" s="27"/>
      <c r="S488" s="10"/>
      <c r="T488" s="10"/>
      <c r="U488" s="10"/>
      <c r="V488" s="10"/>
      <c r="W488" s="10"/>
      <c r="X488" s="10"/>
      <c r="Y488" s="10"/>
      <c r="Z488" s="10"/>
      <c r="AA488" s="34"/>
      <c r="AB488" s="27"/>
      <c r="AC488" s="11"/>
      <c r="AD488" s="11"/>
      <c r="AE488" s="11"/>
      <c r="AF488" s="11"/>
    </row>
    <row r="489" spans="2:32" ht="11.25" customHeight="1" x14ac:dyDescent="0.35">
      <c r="B489" s="24"/>
      <c r="C489" s="7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34"/>
      <c r="R489" s="27"/>
      <c r="S489" s="10"/>
      <c r="T489" s="10"/>
      <c r="U489" s="10"/>
      <c r="V489" s="10"/>
      <c r="W489" s="10"/>
      <c r="X489" s="10"/>
      <c r="Y489" s="10"/>
      <c r="Z489" s="10"/>
      <c r="AA489" s="34"/>
      <c r="AB489" s="27"/>
      <c r="AC489" s="11"/>
      <c r="AD489" s="11"/>
      <c r="AE489" s="11"/>
      <c r="AF489" s="11"/>
    </row>
    <row r="490" spans="2:32" ht="11.25" customHeight="1" x14ac:dyDescent="0.35">
      <c r="B490" s="24"/>
      <c r="C490" s="7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34"/>
      <c r="R490" s="27"/>
      <c r="S490" s="10"/>
      <c r="T490" s="10"/>
      <c r="U490" s="10"/>
      <c r="V490" s="10"/>
      <c r="W490" s="10"/>
      <c r="X490" s="10"/>
      <c r="Y490" s="10"/>
      <c r="Z490" s="10"/>
      <c r="AA490" s="34"/>
      <c r="AB490" s="27"/>
      <c r="AC490" s="11"/>
      <c r="AD490" s="11"/>
      <c r="AE490" s="11"/>
      <c r="AF490" s="11"/>
    </row>
    <row r="491" spans="2:32" ht="11.25" customHeight="1" x14ac:dyDescent="0.35">
      <c r="B491" s="24"/>
      <c r="C491" s="7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34"/>
      <c r="R491" s="27"/>
      <c r="S491" s="10"/>
      <c r="T491" s="10"/>
      <c r="U491" s="10"/>
      <c r="V491" s="10"/>
      <c r="W491" s="10"/>
      <c r="X491" s="10"/>
      <c r="Y491" s="10"/>
      <c r="Z491" s="10"/>
      <c r="AA491" s="34"/>
      <c r="AB491" s="27"/>
      <c r="AC491" s="11"/>
      <c r="AD491" s="11"/>
      <c r="AE491" s="11"/>
      <c r="AF491" s="11"/>
    </row>
    <row r="492" spans="2:32" ht="11.25" customHeight="1" x14ac:dyDescent="0.35">
      <c r="B492" s="24"/>
      <c r="C492" s="7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34"/>
      <c r="R492" s="27"/>
      <c r="S492" s="10"/>
      <c r="T492" s="10"/>
      <c r="U492" s="10"/>
      <c r="V492" s="10"/>
      <c r="W492" s="10"/>
      <c r="X492" s="10"/>
      <c r="Y492" s="10"/>
      <c r="Z492" s="10"/>
      <c r="AA492" s="34"/>
      <c r="AB492" s="27"/>
      <c r="AC492" s="11"/>
      <c r="AD492" s="11"/>
      <c r="AE492" s="11"/>
      <c r="AF492" s="11"/>
    </row>
    <row r="493" spans="2:32" ht="11.25" customHeight="1" x14ac:dyDescent="0.35">
      <c r="B493" s="24"/>
      <c r="C493" s="7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34"/>
      <c r="R493" s="27"/>
      <c r="S493" s="10"/>
      <c r="T493" s="10"/>
      <c r="U493" s="10"/>
      <c r="V493" s="10"/>
      <c r="W493" s="10"/>
      <c r="X493" s="10"/>
      <c r="Y493" s="10"/>
      <c r="Z493" s="10"/>
      <c r="AA493" s="34"/>
      <c r="AB493" s="27"/>
      <c r="AC493" s="11"/>
      <c r="AD493" s="11"/>
      <c r="AE493" s="11"/>
      <c r="AF493" s="11"/>
    </row>
    <row r="494" spans="2:32" ht="11.25" customHeight="1" x14ac:dyDescent="0.35">
      <c r="B494" s="24"/>
      <c r="C494" s="7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34"/>
      <c r="R494" s="27"/>
      <c r="S494" s="10"/>
      <c r="T494" s="10"/>
      <c r="U494" s="10"/>
      <c r="V494" s="10"/>
      <c r="W494" s="10"/>
      <c r="X494" s="10"/>
      <c r="Y494" s="10"/>
      <c r="Z494" s="10"/>
      <c r="AA494" s="34"/>
      <c r="AB494" s="27"/>
      <c r="AC494" s="11"/>
      <c r="AD494" s="11"/>
      <c r="AE494" s="11"/>
      <c r="AF494" s="11"/>
    </row>
    <row r="495" spans="2:32" ht="11.25" customHeight="1" x14ac:dyDescent="0.35">
      <c r="B495" s="24"/>
      <c r="C495" s="7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34"/>
      <c r="R495" s="27"/>
      <c r="S495" s="10"/>
      <c r="T495" s="10"/>
      <c r="U495" s="10"/>
      <c r="V495" s="10"/>
      <c r="W495" s="10"/>
      <c r="X495" s="10"/>
      <c r="Y495" s="10"/>
      <c r="Z495" s="10"/>
      <c r="AA495" s="34"/>
      <c r="AB495" s="27"/>
      <c r="AC495" s="11"/>
      <c r="AD495" s="11"/>
      <c r="AE495" s="11"/>
      <c r="AF495" s="11"/>
    </row>
    <row r="496" spans="2:32" ht="11.25" customHeight="1" x14ac:dyDescent="0.35">
      <c r="B496" s="24"/>
      <c r="C496" s="7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34"/>
      <c r="R496" s="27"/>
      <c r="S496" s="10"/>
      <c r="T496" s="10"/>
      <c r="U496" s="10"/>
      <c r="V496" s="10"/>
      <c r="W496" s="10"/>
      <c r="X496" s="10"/>
      <c r="Y496" s="10"/>
      <c r="Z496" s="10"/>
      <c r="AA496" s="34"/>
      <c r="AB496" s="27"/>
      <c r="AC496" s="11"/>
      <c r="AD496" s="11"/>
      <c r="AE496" s="11"/>
      <c r="AF496" s="11"/>
    </row>
    <row r="497" spans="2:32" ht="11.25" customHeight="1" x14ac:dyDescent="0.35">
      <c r="B497" s="24"/>
      <c r="C497" s="7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34"/>
      <c r="R497" s="27"/>
      <c r="S497" s="10"/>
      <c r="T497" s="10"/>
      <c r="U497" s="10"/>
      <c r="V497" s="10"/>
      <c r="W497" s="10"/>
      <c r="X497" s="10"/>
      <c r="Y497" s="10"/>
      <c r="Z497" s="10"/>
      <c r="AA497" s="34"/>
      <c r="AB497" s="27"/>
      <c r="AC497" s="11"/>
      <c r="AD497" s="11"/>
      <c r="AE497" s="11"/>
      <c r="AF497" s="11"/>
    </row>
    <row r="498" spans="2:32" ht="11.25" customHeight="1" x14ac:dyDescent="0.35">
      <c r="B498" s="24"/>
      <c r="C498" s="7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34"/>
      <c r="R498" s="27"/>
      <c r="S498" s="10"/>
      <c r="T498" s="10"/>
      <c r="U498" s="10"/>
      <c r="V498" s="10"/>
      <c r="W498" s="10"/>
      <c r="X498" s="10"/>
      <c r="Y498" s="10"/>
      <c r="Z498" s="10"/>
      <c r="AA498" s="34"/>
      <c r="AB498" s="27"/>
      <c r="AC498" s="11"/>
      <c r="AD498" s="11"/>
      <c r="AE498" s="11"/>
      <c r="AF498" s="11"/>
    </row>
    <row r="499" spans="2:32" ht="11.25" customHeight="1" x14ac:dyDescent="0.35">
      <c r="B499" s="24"/>
      <c r="C499" s="7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34"/>
      <c r="R499" s="27"/>
      <c r="S499" s="10"/>
      <c r="T499" s="10"/>
      <c r="U499" s="10"/>
      <c r="V499" s="10"/>
      <c r="W499" s="10"/>
      <c r="X499" s="10"/>
      <c r="Y499" s="10"/>
      <c r="Z499" s="10"/>
      <c r="AA499" s="34"/>
      <c r="AB499" s="27"/>
      <c r="AC499" s="11"/>
      <c r="AD499" s="11"/>
      <c r="AE499" s="11"/>
      <c r="AF499" s="11"/>
    </row>
    <row r="500" spans="2:32" ht="11.25" customHeight="1" x14ac:dyDescent="0.35">
      <c r="B500" s="24"/>
      <c r="C500" s="7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34"/>
      <c r="R500" s="27"/>
      <c r="S500" s="10"/>
      <c r="T500" s="10"/>
      <c r="U500" s="10"/>
      <c r="V500" s="10"/>
      <c r="W500" s="10"/>
      <c r="X500" s="10"/>
      <c r="Y500" s="10"/>
      <c r="Z500" s="10"/>
      <c r="AA500" s="34"/>
      <c r="AB500" s="27"/>
      <c r="AC500" s="11"/>
      <c r="AD500" s="11"/>
      <c r="AE500" s="11"/>
      <c r="AF500" s="11"/>
    </row>
    <row r="501" spans="2:32" ht="11.25" customHeight="1" x14ac:dyDescent="0.35">
      <c r="C501" s="8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R501" s="40"/>
      <c r="S501" s="10"/>
      <c r="T501" s="10"/>
      <c r="U501" s="10"/>
      <c r="V501" s="10"/>
      <c r="W501" s="10"/>
      <c r="X501" s="10"/>
      <c r="Y501" s="10"/>
      <c r="Z501" s="10"/>
      <c r="AB501" s="28"/>
      <c r="AC501" s="11"/>
      <c r="AD501" s="11"/>
      <c r="AE501" s="11"/>
      <c r="AF501" s="11"/>
    </row>
    <row r="502" spans="2:32" ht="11.25" customHeight="1" x14ac:dyDescent="0.35">
      <c r="C502" s="8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R502" s="40"/>
      <c r="S502" s="10"/>
      <c r="T502" s="10"/>
      <c r="U502" s="10"/>
      <c r="V502" s="10"/>
      <c r="W502" s="10"/>
      <c r="X502" s="10"/>
      <c r="Y502" s="10"/>
      <c r="Z502" s="10"/>
      <c r="AB502" s="28"/>
      <c r="AC502" s="11"/>
      <c r="AD502" s="11"/>
      <c r="AE502" s="11"/>
      <c r="AF502" s="11"/>
    </row>
    <row r="503" spans="2:32" ht="11.25" customHeight="1" x14ac:dyDescent="0.35">
      <c r="C503" s="8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R503" s="40"/>
      <c r="S503" s="10"/>
      <c r="T503" s="10"/>
      <c r="U503" s="10"/>
      <c r="V503" s="10"/>
      <c r="W503" s="10"/>
      <c r="X503" s="10"/>
      <c r="Y503" s="10"/>
      <c r="Z503" s="10"/>
      <c r="AB503" s="28"/>
      <c r="AC503" s="11"/>
      <c r="AD503" s="11"/>
      <c r="AE503" s="11"/>
      <c r="AF503" s="11"/>
    </row>
    <row r="504" spans="2:32" ht="11.25" customHeight="1" x14ac:dyDescent="0.35">
      <c r="C504" s="8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R504" s="40"/>
      <c r="S504" s="10"/>
      <c r="T504" s="10"/>
      <c r="U504" s="10"/>
      <c r="V504" s="10"/>
      <c r="W504" s="10"/>
      <c r="X504" s="10"/>
      <c r="Y504" s="10"/>
      <c r="Z504" s="10"/>
      <c r="AB504" s="28"/>
      <c r="AC504" s="11"/>
      <c r="AD504" s="11"/>
      <c r="AE504" s="11"/>
      <c r="AF504" s="11"/>
    </row>
    <row r="505" spans="2:32" ht="11.25" customHeight="1" x14ac:dyDescent="0.35">
      <c r="C505" s="8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R505" s="40"/>
      <c r="S505" s="10"/>
      <c r="T505" s="10"/>
      <c r="U505" s="10"/>
      <c r="V505" s="10"/>
      <c r="W505" s="10"/>
      <c r="X505" s="10"/>
      <c r="Y505" s="10"/>
      <c r="Z505" s="10"/>
      <c r="AB505" s="28"/>
      <c r="AC505" s="11"/>
      <c r="AD505" s="11"/>
      <c r="AE505" s="11"/>
      <c r="AF505" s="11"/>
    </row>
    <row r="506" spans="2:32" ht="11.25" customHeight="1" x14ac:dyDescent="0.35">
      <c r="C506" s="8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R506" s="40"/>
      <c r="S506" s="10"/>
      <c r="T506" s="10"/>
      <c r="U506" s="10"/>
      <c r="V506" s="10"/>
      <c r="W506" s="10"/>
      <c r="X506" s="10"/>
      <c r="Y506" s="10"/>
      <c r="Z506" s="10"/>
      <c r="AB506" s="28"/>
      <c r="AC506" s="11"/>
      <c r="AD506" s="11"/>
      <c r="AE506" s="11"/>
      <c r="AF506" s="11"/>
    </row>
    <row r="507" spans="2:32" ht="11.25" customHeight="1" x14ac:dyDescent="0.35">
      <c r="C507" s="8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R507" s="40"/>
      <c r="S507" s="10"/>
      <c r="T507" s="10"/>
      <c r="U507" s="10"/>
      <c r="V507" s="10"/>
      <c r="W507" s="10"/>
      <c r="X507" s="10"/>
      <c r="Y507" s="10"/>
      <c r="Z507" s="10"/>
      <c r="AB507" s="28"/>
      <c r="AC507" s="11"/>
      <c r="AD507" s="11"/>
      <c r="AE507" s="11"/>
      <c r="AF507" s="11"/>
    </row>
    <row r="508" spans="2:32" ht="11.25" customHeight="1" x14ac:dyDescent="0.35">
      <c r="C508" s="8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R508" s="40"/>
      <c r="S508" s="10"/>
      <c r="T508" s="10"/>
      <c r="U508" s="10"/>
      <c r="V508" s="10"/>
      <c r="W508" s="10"/>
      <c r="X508" s="10"/>
      <c r="Y508" s="10"/>
      <c r="Z508" s="10"/>
      <c r="AB508" s="28"/>
      <c r="AC508" s="11"/>
      <c r="AD508" s="11"/>
      <c r="AE508" s="11"/>
      <c r="AF508" s="11"/>
    </row>
    <row r="509" spans="2:32" ht="11.25" customHeight="1" x14ac:dyDescent="0.35">
      <c r="C509" s="8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R509" s="40"/>
      <c r="S509" s="10"/>
      <c r="T509" s="10"/>
      <c r="U509" s="10"/>
      <c r="V509" s="10"/>
      <c r="W509" s="10"/>
      <c r="X509" s="10"/>
      <c r="Y509" s="10"/>
      <c r="Z509" s="10"/>
      <c r="AB509" s="28"/>
      <c r="AC509" s="11"/>
      <c r="AD509" s="11"/>
      <c r="AE509" s="11"/>
      <c r="AF509" s="11"/>
    </row>
    <row r="510" spans="2:32" ht="11.25" customHeight="1" x14ac:dyDescent="0.35">
      <c r="C510" s="8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R510" s="40"/>
      <c r="S510" s="10"/>
      <c r="T510" s="10"/>
      <c r="U510" s="10"/>
      <c r="V510" s="10"/>
      <c r="W510" s="10"/>
      <c r="X510" s="10"/>
      <c r="Y510" s="10"/>
      <c r="Z510" s="10"/>
      <c r="AB510" s="28"/>
      <c r="AC510" s="11"/>
      <c r="AD510" s="11"/>
      <c r="AE510" s="11"/>
      <c r="AF510" s="11"/>
    </row>
    <row r="511" spans="2:32" ht="11.25" customHeight="1" x14ac:dyDescent="0.35">
      <c r="C511" s="8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R511" s="40"/>
      <c r="S511" s="10"/>
      <c r="T511" s="10"/>
      <c r="U511" s="10"/>
      <c r="V511" s="10"/>
      <c r="W511" s="10"/>
      <c r="X511" s="10"/>
      <c r="Y511" s="10"/>
      <c r="Z511" s="10"/>
      <c r="AB511" s="28"/>
      <c r="AC511" s="11"/>
      <c r="AD511" s="11"/>
      <c r="AE511" s="11"/>
      <c r="AF511" s="11"/>
    </row>
    <row r="512" spans="2:32" ht="11.25" customHeight="1" x14ac:dyDescent="0.35">
      <c r="C512" s="8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R512" s="40"/>
      <c r="S512" s="10"/>
      <c r="T512" s="10"/>
      <c r="U512" s="10"/>
      <c r="V512" s="10"/>
      <c r="W512" s="10"/>
      <c r="X512" s="10"/>
      <c r="Y512" s="10"/>
      <c r="Z512" s="10"/>
      <c r="AB512" s="28"/>
      <c r="AC512" s="11"/>
      <c r="AD512" s="11"/>
      <c r="AE512" s="11"/>
      <c r="AF512" s="11"/>
    </row>
    <row r="513" spans="3:32" ht="11.25" customHeight="1" x14ac:dyDescent="0.35">
      <c r="C513" s="8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R513" s="40"/>
      <c r="S513" s="10"/>
      <c r="T513" s="10"/>
      <c r="U513" s="10"/>
      <c r="V513" s="10"/>
      <c r="W513" s="10"/>
      <c r="X513" s="10"/>
      <c r="Y513" s="10"/>
      <c r="Z513" s="10"/>
      <c r="AB513" s="28"/>
      <c r="AC513" s="11"/>
      <c r="AD513" s="11"/>
      <c r="AE513" s="11"/>
      <c r="AF513" s="11"/>
    </row>
    <row r="514" spans="3:32" ht="11.25" customHeight="1" x14ac:dyDescent="0.35">
      <c r="C514" s="8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R514" s="40"/>
      <c r="S514" s="10"/>
      <c r="T514" s="10"/>
      <c r="U514" s="10"/>
      <c r="V514" s="10"/>
      <c r="W514" s="10"/>
      <c r="X514" s="10"/>
      <c r="Y514" s="10"/>
      <c r="Z514" s="10"/>
      <c r="AB514" s="28"/>
      <c r="AC514" s="11"/>
      <c r="AD514" s="11"/>
      <c r="AE514" s="11"/>
      <c r="AF514" s="11"/>
    </row>
    <row r="515" spans="3:32" ht="11.25" customHeight="1" x14ac:dyDescent="0.35">
      <c r="C515" s="8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R515" s="40"/>
      <c r="S515" s="10"/>
      <c r="T515" s="10"/>
      <c r="U515" s="10"/>
      <c r="V515" s="10"/>
      <c r="W515" s="10"/>
      <c r="X515" s="10"/>
      <c r="Y515" s="10"/>
      <c r="Z515" s="10"/>
      <c r="AB515" s="28"/>
      <c r="AC515" s="11"/>
      <c r="AD515" s="11"/>
      <c r="AE515" s="11"/>
      <c r="AF515" s="11"/>
    </row>
    <row r="516" spans="3:32" ht="11.25" customHeight="1" x14ac:dyDescent="0.35">
      <c r="C516" s="8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R516" s="40"/>
      <c r="S516" s="10"/>
      <c r="T516" s="10"/>
      <c r="U516" s="10"/>
      <c r="V516" s="10"/>
      <c r="W516" s="10"/>
      <c r="X516" s="10"/>
      <c r="Y516" s="10"/>
      <c r="Z516" s="10"/>
      <c r="AB516" s="28"/>
      <c r="AC516" s="11"/>
      <c r="AD516" s="11"/>
      <c r="AE516" s="11"/>
      <c r="AF516" s="11"/>
    </row>
    <row r="517" spans="3:32" ht="11.25" customHeight="1" x14ac:dyDescent="0.35">
      <c r="C517" s="8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R517" s="40"/>
      <c r="S517" s="10"/>
      <c r="T517" s="10"/>
      <c r="U517" s="10"/>
      <c r="V517" s="10"/>
      <c r="W517" s="10"/>
      <c r="X517" s="10"/>
      <c r="Y517" s="10"/>
      <c r="Z517" s="10"/>
      <c r="AB517" s="28"/>
      <c r="AC517" s="11"/>
      <c r="AD517" s="11"/>
      <c r="AE517" s="11"/>
      <c r="AF517" s="11"/>
    </row>
    <row r="518" spans="3:32" ht="11.25" customHeight="1" x14ac:dyDescent="0.35">
      <c r="C518" s="8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R518" s="40"/>
      <c r="S518" s="10"/>
      <c r="T518" s="10"/>
      <c r="U518" s="10"/>
      <c r="V518" s="10"/>
      <c r="W518" s="10"/>
      <c r="X518" s="10"/>
      <c r="Y518" s="10"/>
      <c r="Z518" s="10"/>
      <c r="AB518" s="28"/>
      <c r="AC518" s="11"/>
      <c r="AD518" s="11"/>
      <c r="AE518" s="11"/>
      <c r="AF518" s="11"/>
    </row>
    <row r="519" spans="3:32" ht="11.25" customHeight="1" x14ac:dyDescent="0.35">
      <c r="C519" s="8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R519" s="40"/>
      <c r="S519" s="10"/>
      <c r="T519" s="10"/>
      <c r="U519" s="10"/>
      <c r="V519" s="10"/>
      <c r="W519" s="10"/>
      <c r="X519" s="10"/>
      <c r="Y519" s="10"/>
      <c r="Z519" s="10"/>
      <c r="AB519" s="28"/>
      <c r="AC519" s="11"/>
      <c r="AD519" s="11"/>
      <c r="AE519" s="11"/>
      <c r="AF519" s="11"/>
    </row>
    <row r="520" spans="3:32" ht="11.25" customHeight="1" x14ac:dyDescent="0.35">
      <c r="C520" s="8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R520" s="40"/>
      <c r="S520" s="10"/>
      <c r="T520" s="10"/>
      <c r="U520" s="10"/>
      <c r="V520" s="10"/>
      <c r="W520" s="10"/>
      <c r="X520" s="10"/>
      <c r="Y520" s="10"/>
      <c r="Z520" s="10"/>
      <c r="AB520" s="28"/>
      <c r="AC520" s="11"/>
      <c r="AD520" s="11"/>
      <c r="AE520" s="11"/>
      <c r="AF520" s="11"/>
    </row>
    <row r="521" spans="3:32" ht="11.25" customHeight="1" x14ac:dyDescent="0.35">
      <c r="C521" s="8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R521" s="40"/>
      <c r="S521" s="10"/>
      <c r="T521" s="10"/>
      <c r="U521" s="10"/>
      <c r="V521" s="10"/>
      <c r="W521" s="10"/>
      <c r="X521" s="10"/>
      <c r="Y521" s="10"/>
      <c r="Z521" s="10"/>
      <c r="AB521" s="28"/>
      <c r="AC521" s="11"/>
      <c r="AD521" s="11"/>
      <c r="AE521" s="11"/>
      <c r="AF521" s="11"/>
    </row>
    <row r="522" spans="3:32" ht="11.25" customHeight="1" x14ac:dyDescent="0.35">
      <c r="C522" s="8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R522" s="40"/>
      <c r="S522" s="10"/>
      <c r="T522" s="10"/>
      <c r="U522" s="10"/>
      <c r="V522" s="10"/>
      <c r="W522" s="10"/>
      <c r="X522" s="10"/>
      <c r="Y522" s="10"/>
      <c r="Z522" s="10"/>
      <c r="AB522" s="28"/>
      <c r="AC522" s="11"/>
      <c r="AD522" s="11"/>
      <c r="AE522" s="11"/>
      <c r="AF522" s="11"/>
    </row>
    <row r="523" spans="3:32" ht="11.25" customHeight="1" x14ac:dyDescent="0.35">
      <c r="C523" s="8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R523" s="40"/>
      <c r="S523" s="10"/>
      <c r="T523" s="10"/>
      <c r="U523" s="10"/>
      <c r="V523" s="10"/>
      <c r="W523" s="10"/>
      <c r="X523" s="10"/>
      <c r="Y523" s="10"/>
      <c r="Z523" s="10"/>
      <c r="AB523" s="28"/>
      <c r="AC523" s="11"/>
      <c r="AD523" s="11"/>
      <c r="AE523" s="11"/>
      <c r="AF523" s="11"/>
    </row>
    <row r="524" spans="3:32" ht="11.25" customHeight="1" x14ac:dyDescent="0.35">
      <c r="C524" s="8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R524" s="40"/>
      <c r="S524" s="10"/>
      <c r="T524" s="10"/>
      <c r="U524" s="10"/>
      <c r="V524" s="10"/>
      <c r="W524" s="10"/>
      <c r="X524" s="10"/>
      <c r="Y524" s="10"/>
      <c r="Z524" s="10"/>
      <c r="AB524" s="28"/>
      <c r="AC524" s="11"/>
      <c r="AD524" s="11"/>
      <c r="AE524" s="11"/>
      <c r="AF524" s="11"/>
    </row>
    <row r="525" spans="3:32" ht="11.25" customHeight="1" x14ac:dyDescent="0.35">
      <c r="C525" s="8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R525" s="40"/>
      <c r="S525" s="10"/>
      <c r="T525" s="10"/>
      <c r="U525" s="10"/>
      <c r="V525" s="10"/>
      <c r="W525" s="10"/>
      <c r="X525" s="10"/>
      <c r="Y525" s="10"/>
      <c r="Z525" s="10"/>
      <c r="AB525" s="28"/>
      <c r="AC525" s="11"/>
      <c r="AD525" s="11"/>
      <c r="AE525" s="11"/>
      <c r="AF525" s="11"/>
    </row>
    <row r="526" spans="3:32" ht="11.25" customHeight="1" x14ac:dyDescent="0.35">
      <c r="C526" s="8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R526" s="40"/>
      <c r="S526" s="10"/>
      <c r="T526" s="10"/>
      <c r="U526" s="10"/>
      <c r="V526" s="10"/>
      <c r="W526" s="10"/>
      <c r="X526" s="10"/>
      <c r="Y526" s="10"/>
      <c r="Z526" s="10"/>
      <c r="AB526" s="28"/>
      <c r="AC526" s="11"/>
      <c r="AD526" s="11"/>
      <c r="AE526" s="11"/>
      <c r="AF526" s="11"/>
    </row>
    <row r="527" spans="3:32" ht="11.25" customHeight="1" x14ac:dyDescent="0.35">
      <c r="C527" s="8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R527" s="40"/>
      <c r="S527" s="10"/>
      <c r="T527" s="10"/>
      <c r="U527" s="10"/>
      <c r="V527" s="10"/>
      <c r="W527" s="10"/>
      <c r="X527" s="10"/>
      <c r="Y527" s="10"/>
      <c r="Z527" s="10"/>
      <c r="AB527" s="28"/>
      <c r="AC527" s="11"/>
      <c r="AD527" s="11"/>
      <c r="AE527" s="11"/>
      <c r="AF527" s="11"/>
    </row>
    <row r="528" spans="3:32" ht="11.25" customHeight="1" x14ac:dyDescent="0.35">
      <c r="C528" s="8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R528" s="40"/>
      <c r="S528" s="10"/>
      <c r="T528" s="10"/>
      <c r="U528" s="10"/>
      <c r="V528" s="10"/>
      <c r="W528" s="10"/>
      <c r="X528" s="10"/>
      <c r="Y528" s="10"/>
      <c r="Z528" s="10"/>
      <c r="AB528" s="28"/>
      <c r="AC528" s="11"/>
      <c r="AD528" s="11"/>
      <c r="AE528" s="11"/>
      <c r="AF528" s="11"/>
    </row>
    <row r="529" spans="3:32" ht="11.25" customHeight="1" x14ac:dyDescent="0.35">
      <c r="C529" s="8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R529" s="40"/>
      <c r="S529" s="10"/>
      <c r="T529" s="10"/>
      <c r="U529" s="10"/>
      <c r="V529" s="10"/>
      <c r="W529" s="10"/>
      <c r="X529" s="10"/>
      <c r="Y529" s="10"/>
      <c r="Z529" s="10"/>
      <c r="AB529" s="28"/>
      <c r="AC529" s="11"/>
      <c r="AD529" s="11"/>
      <c r="AE529" s="11"/>
      <c r="AF529" s="11"/>
    </row>
    <row r="530" spans="3:32" ht="11.25" customHeight="1" x14ac:dyDescent="0.35">
      <c r="C530" s="8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R530" s="40"/>
      <c r="S530" s="10"/>
      <c r="T530" s="10"/>
      <c r="U530" s="10"/>
      <c r="V530" s="10"/>
      <c r="W530" s="10"/>
      <c r="X530" s="10"/>
      <c r="Y530" s="10"/>
      <c r="Z530" s="10"/>
      <c r="AB530" s="28"/>
      <c r="AC530" s="11"/>
      <c r="AD530" s="11"/>
      <c r="AE530" s="11"/>
      <c r="AF530" s="11"/>
    </row>
    <row r="531" spans="3:32" ht="11.25" customHeight="1" x14ac:dyDescent="0.35">
      <c r="C531" s="8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R531" s="40"/>
      <c r="S531" s="10"/>
      <c r="T531" s="10"/>
      <c r="U531" s="10"/>
      <c r="V531" s="10"/>
      <c r="W531" s="10"/>
      <c r="X531" s="10"/>
      <c r="Y531" s="10"/>
      <c r="Z531" s="10"/>
      <c r="AB531" s="28"/>
      <c r="AC531" s="11"/>
      <c r="AD531" s="11"/>
      <c r="AE531" s="11"/>
      <c r="AF531" s="11"/>
    </row>
    <row r="532" spans="3:32" ht="11.25" customHeight="1" x14ac:dyDescent="0.35">
      <c r="C532" s="8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R532" s="40"/>
      <c r="S532" s="10"/>
      <c r="T532" s="10"/>
      <c r="U532" s="10"/>
      <c r="V532" s="10"/>
      <c r="W532" s="10"/>
      <c r="X532" s="10"/>
      <c r="Y532" s="10"/>
      <c r="Z532" s="10"/>
      <c r="AB532" s="28"/>
      <c r="AC532" s="11"/>
      <c r="AD532" s="11"/>
      <c r="AE532" s="11"/>
      <c r="AF532" s="11"/>
    </row>
    <row r="533" spans="3:32" ht="11.25" customHeight="1" x14ac:dyDescent="0.35">
      <c r="C533" s="8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R533" s="40"/>
      <c r="S533" s="10"/>
      <c r="T533" s="10"/>
      <c r="U533" s="10"/>
      <c r="V533" s="10"/>
      <c r="W533" s="10"/>
      <c r="X533" s="10"/>
      <c r="Y533" s="10"/>
      <c r="Z533" s="10"/>
      <c r="AB533" s="28"/>
      <c r="AC533" s="11"/>
      <c r="AD533" s="11"/>
      <c r="AE533" s="11"/>
      <c r="AF533" s="11"/>
    </row>
    <row r="534" spans="3:32" ht="11.25" customHeight="1" x14ac:dyDescent="0.35">
      <c r="C534" s="8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R534" s="40"/>
      <c r="S534" s="10"/>
      <c r="T534" s="10"/>
      <c r="U534" s="10"/>
      <c r="V534" s="10"/>
      <c r="W534" s="10"/>
      <c r="X534" s="10"/>
      <c r="Y534" s="10"/>
      <c r="Z534" s="10"/>
      <c r="AB534" s="28"/>
      <c r="AC534" s="11"/>
      <c r="AD534" s="11"/>
      <c r="AE534" s="11"/>
      <c r="AF534" s="11"/>
    </row>
    <row r="535" spans="3:32" ht="11.25" customHeight="1" x14ac:dyDescent="0.35">
      <c r="C535" s="8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R535" s="40"/>
      <c r="S535" s="10"/>
      <c r="T535" s="10"/>
      <c r="U535" s="10"/>
      <c r="V535" s="10"/>
      <c r="W535" s="10"/>
      <c r="X535" s="10"/>
      <c r="Y535" s="10"/>
      <c r="Z535" s="10"/>
      <c r="AB535" s="28"/>
      <c r="AC535" s="11"/>
      <c r="AD535" s="11"/>
      <c r="AE535" s="11"/>
      <c r="AF535" s="11"/>
    </row>
    <row r="536" spans="3:32" ht="11.25" customHeight="1" x14ac:dyDescent="0.35">
      <c r="C536" s="8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R536" s="40"/>
      <c r="S536" s="10"/>
      <c r="T536" s="10"/>
      <c r="U536" s="10"/>
      <c r="V536" s="10"/>
      <c r="W536" s="10"/>
      <c r="X536" s="10"/>
      <c r="Y536" s="10"/>
      <c r="Z536" s="10"/>
      <c r="AB536" s="28"/>
      <c r="AC536" s="11"/>
      <c r="AD536" s="11"/>
      <c r="AE536" s="11"/>
      <c r="AF536" s="11"/>
    </row>
    <row r="537" spans="3:32" ht="11.25" customHeight="1" x14ac:dyDescent="0.35">
      <c r="C537" s="8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R537" s="40"/>
      <c r="S537" s="10"/>
      <c r="T537" s="10"/>
      <c r="U537" s="10"/>
      <c r="V537" s="10"/>
      <c r="W537" s="10"/>
      <c r="X537" s="10"/>
      <c r="Y537" s="10"/>
      <c r="Z537" s="10"/>
      <c r="AB537" s="28"/>
      <c r="AC537" s="11"/>
      <c r="AD537" s="11"/>
      <c r="AE537" s="11"/>
      <c r="AF537" s="11"/>
    </row>
    <row r="538" spans="3:32" ht="11.25" customHeight="1" x14ac:dyDescent="0.35">
      <c r="C538" s="8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R538" s="40"/>
      <c r="S538" s="10"/>
      <c r="T538" s="10"/>
      <c r="U538" s="10"/>
      <c r="V538" s="10"/>
      <c r="W538" s="10"/>
      <c r="X538" s="10"/>
      <c r="Y538" s="10"/>
      <c r="Z538" s="10"/>
      <c r="AB538" s="28"/>
      <c r="AC538" s="11"/>
      <c r="AD538" s="11"/>
      <c r="AE538" s="11"/>
      <c r="AF538" s="11"/>
    </row>
    <row r="539" spans="3:32" ht="11.25" customHeight="1" x14ac:dyDescent="0.35">
      <c r="C539" s="8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R539" s="40"/>
      <c r="S539" s="10"/>
      <c r="T539" s="10"/>
      <c r="U539" s="10"/>
      <c r="V539" s="10"/>
      <c r="W539" s="10"/>
      <c r="X539" s="10"/>
      <c r="Y539" s="10"/>
      <c r="Z539" s="10"/>
      <c r="AB539" s="28"/>
      <c r="AC539" s="11"/>
      <c r="AD539" s="11"/>
      <c r="AE539" s="11"/>
      <c r="AF539" s="11"/>
    </row>
    <row r="540" spans="3:32" ht="11.25" customHeight="1" x14ac:dyDescent="0.35">
      <c r="C540" s="8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R540" s="40"/>
      <c r="S540" s="10"/>
      <c r="T540" s="10"/>
      <c r="U540" s="10"/>
      <c r="V540" s="10"/>
      <c r="W540" s="10"/>
      <c r="X540" s="10"/>
      <c r="Y540" s="10"/>
      <c r="Z540" s="10"/>
      <c r="AB540" s="28"/>
      <c r="AC540" s="11"/>
      <c r="AD540" s="11"/>
      <c r="AE540" s="11"/>
      <c r="AF540" s="11"/>
    </row>
    <row r="541" spans="3:32" ht="11.25" customHeight="1" x14ac:dyDescent="0.35">
      <c r="C541" s="8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R541" s="40"/>
      <c r="S541" s="10"/>
      <c r="T541" s="10"/>
      <c r="U541" s="10"/>
      <c r="V541" s="10"/>
      <c r="W541" s="10"/>
      <c r="X541" s="10"/>
      <c r="Y541" s="10"/>
      <c r="Z541" s="10"/>
      <c r="AB541" s="28"/>
      <c r="AC541" s="11"/>
      <c r="AD541" s="11"/>
      <c r="AE541" s="11"/>
      <c r="AF541" s="11"/>
    </row>
    <row r="542" spans="3:32" ht="11.25" customHeight="1" x14ac:dyDescent="0.35">
      <c r="C542" s="8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R542" s="40"/>
      <c r="S542" s="10"/>
      <c r="T542" s="10"/>
      <c r="U542" s="10"/>
      <c r="V542" s="10"/>
      <c r="W542" s="10"/>
      <c r="X542" s="10"/>
      <c r="Y542" s="10"/>
      <c r="Z542" s="10"/>
      <c r="AB542" s="28"/>
      <c r="AC542" s="11"/>
      <c r="AD542" s="11"/>
      <c r="AE542" s="11"/>
      <c r="AF542" s="11"/>
    </row>
    <row r="543" spans="3:32" ht="11.25" customHeight="1" x14ac:dyDescent="0.35">
      <c r="C543" s="8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R543" s="40"/>
      <c r="S543" s="10"/>
      <c r="T543" s="10"/>
      <c r="U543" s="10"/>
      <c r="V543" s="10"/>
      <c r="W543" s="10"/>
      <c r="X543" s="10"/>
      <c r="Y543" s="10"/>
      <c r="Z543" s="10"/>
      <c r="AB543" s="28"/>
      <c r="AC543" s="11"/>
      <c r="AD543" s="11"/>
      <c r="AE543" s="11"/>
      <c r="AF543" s="11"/>
    </row>
    <row r="544" spans="3:32" ht="11.25" customHeight="1" x14ac:dyDescent="0.35">
      <c r="C544" s="8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R544" s="40"/>
      <c r="S544" s="10"/>
      <c r="T544" s="10"/>
      <c r="U544" s="10"/>
      <c r="V544" s="10"/>
      <c r="W544" s="10"/>
      <c r="X544" s="10"/>
      <c r="Y544" s="10"/>
      <c r="Z544" s="10"/>
      <c r="AB544" s="28"/>
      <c r="AC544" s="11"/>
      <c r="AD544" s="11"/>
      <c r="AE544" s="11"/>
      <c r="AF544" s="11"/>
    </row>
    <row r="545" spans="3:32" ht="11.25" customHeight="1" x14ac:dyDescent="0.35">
      <c r="C545" s="8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R545" s="40"/>
      <c r="S545" s="10"/>
      <c r="T545" s="10"/>
      <c r="U545" s="10"/>
      <c r="V545" s="10"/>
      <c r="W545" s="10"/>
      <c r="X545" s="10"/>
      <c r="Y545" s="10"/>
      <c r="Z545" s="10"/>
      <c r="AB545" s="28"/>
      <c r="AC545" s="11"/>
      <c r="AD545" s="11"/>
      <c r="AE545" s="11"/>
      <c r="AF545" s="11"/>
    </row>
    <row r="546" spans="3:32" ht="11.25" customHeight="1" x14ac:dyDescent="0.35">
      <c r="C546" s="8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R546" s="40"/>
      <c r="S546" s="10"/>
      <c r="T546" s="10"/>
      <c r="U546" s="10"/>
      <c r="V546" s="10"/>
      <c r="W546" s="10"/>
      <c r="X546" s="10"/>
      <c r="Y546" s="10"/>
      <c r="Z546" s="10"/>
      <c r="AB546" s="28"/>
      <c r="AC546" s="11"/>
      <c r="AD546" s="11"/>
      <c r="AE546" s="11"/>
      <c r="AF546" s="11"/>
    </row>
    <row r="547" spans="3:32" ht="11.25" customHeight="1" x14ac:dyDescent="0.35">
      <c r="C547" s="8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R547" s="40"/>
      <c r="S547" s="10"/>
      <c r="T547" s="10"/>
      <c r="U547" s="10"/>
      <c r="V547" s="10"/>
      <c r="W547" s="10"/>
      <c r="X547" s="10"/>
      <c r="Y547" s="10"/>
      <c r="Z547" s="10"/>
      <c r="AB547" s="28"/>
      <c r="AC547" s="11"/>
      <c r="AD547" s="11"/>
      <c r="AE547" s="11"/>
      <c r="AF547" s="11"/>
    </row>
    <row r="548" spans="3:32" ht="11.25" customHeight="1" x14ac:dyDescent="0.35">
      <c r="C548" s="8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R548" s="40"/>
      <c r="S548" s="10"/>
      <c r="T548" s="10"/>
      <c r="U548" s="10"/>
      <c r="V548" s="10"/>
      <c r="W548" s="10"/>
      <c r="X548" s="10"/>
      <c r="Y548" s="10"/>
      <c r="Z548" s="10"/>
      <c r="AB548" s="28"/>
      <c r="AC548" s="11"/>
      <c r="AD548" s="11"/>
      <c r="AE548" s="11"/>
      <c r="AF548" s="11"/>
    </row>
    <row r="549" spans="3:32" ht="11.25" customHeight="1" x14ac:dyDescent="0.35">
      <c r="C549" s="8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R549" s="40"/>
      <c r="S549" s="10"/>
      <c r="T549" s="10"/>
      <c r="U549" s="10"/>
      <c r="V549" s="10"/>
      <c r="W549" s="10"/>
      <c r="X549" s="10"/>
      <c r="Y549" s="10"/>
      <c r="Z549" s="10"/>
      <c r="AB549" s="28"/>
      <c r="AC549" s="11"/>
      <c r="AD549" s="11"/>
      <c r="AE549" s="11"/>
      <c r="AF549" s="11"/>
    </row>
    <row r="550" spans="3:32" ht="11.25" customHeight="1" x14ac:dyDescent="0.35">
      <c r="C550" s="8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R550" s="40"/>
      <c r="S550" s="10"/>
      <c r="T550" s="10"/>
      <c r="U550" s="10"/>
      <c r="V550" s="10"/>
      <c r="W550" s="10"/>
      <c r="X550" s="10"/>
      <c r="Y550" s="10"/>
      <c r="Z550" s="10"/>
      <c r="AB550" s="28"/>
      <c r="AC550" s="11"/>
      <c r="AD550" s="11"/>
      <c r="AE550" s="11"/>
      <c r="AF550" s="11"/>
    </row>
    <row r="551" spans="3:32" ht="11.25" customHeight="1" x14ac:dyDescent="0.35">
      <c r="C551" s="8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R551" s="40"/>
      <c r="S551" s="10"/>
      <c r="T551" s="10"/>
      <c r="U551" s="10"/>
      <c r="V551" s="10"/>
      <c r="W551" s="10"/>
      <c r="X551" s="10"/>
      <c r="Y551" s="10"/>
      <c r="Z551" s="10"/>
      <c r="AB551" s="28"/>
      <c r="AC551" s="11"/>
      <c r="AD551" s="11"/>
      <c r="AE551" s="11"/>
      <c r="AF551" s="11"/>
    </row>
    <row r="552" spans="3:32" ht="11.25" customHeight="1" x14ac:dyDescent="0.35">
      <c r="C552" s="8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R552" s="40"/>
      <c r="S552" s="10"/>
      <c r="T552" s="10"/>
      <c r="U552" s="10"/>
      <c r="V552" s="10"/>
      <c r="W552" s="10"/>
      <c r="X552" s="10"/>
      <c r="Y552" s="10"/>
      <c r="Z552" s="10"/>
      <c r="AB552" s="28"/>
      <c r="AC552" s="11"/>
      <c r="AD552" s="11"/>
      <c r="AE552" s="11"/>
      <c r="AF552" s="11"/>
    </row>
    <row r="553" spans="3:32" ht="11.25" customHeight="1" x14ac:dyDescent="0.35">
      <c r="C553" s="8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R553" s="40"/>
      <c r="S553" s="10"/>
      <c r="T553" s="10"/>
      <c r="U553" s="10"/>
      <c r="V553" s="10"/>
      <c r="W553" s="10"/>
      <c r="X553" s="10"/>
      <c r="Y553" s="10"/>
      <c r="Z553" s="10"/>
      <c r="AB553" s="28"/>
      <c r="AC553" s="11"/>
      <c r="AD553" s="11"/>
      <c r="AE553" s="11"/>
      <c r="AF553" s="11"/>
    </row>
    <row r="554" spans="3:32" ht="11.25" customHeight="1" x14ac:dyDescent="0.35">
      <c r="C554" s="8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R554" s="40"/>
      <c r="S554" s="10"/>
      <c r="T554" s="10"/>
      <c r="U554" s="10"/>
      <c r="V554" s="10"/>
      <c r="W554" s="10"/>
      <c r="X554" s="10"/>
      <c r="Y554" s="10"/>
      <c r="Z554" s="10"/>
      <c r="AB554" s="28"/>
      <c r="AC554" s="11"/>
      <c r="AD554" s="11"/>
      <c r="AE554" s="11"/>
      <c r="AF554" s="11"/>
    </row>
    <row r="555" spans="3:32" ht="11.25" customHeight="1" x14ac:dyDescent="0.35">
      <c r="C555" s="8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R555" s="40"/>
      <c r="S555" s="10"/>
      <c r="T555" s="10"/>
      <c r="U555" s="10"/>
      <c r="V555" s="10"/>
      <c r="W555" s="10"/>
      <c r="X555" s="10"/>
      <c r="Y555" s="10"/>
      <c r="Z555" s="10"/>
      <c r="AB555" s="28"/>
      <c r="AC555" s="11"/>
      <c r="AD555" s="11"/>
      <c r="AE555" s="11"/>
      <c r="AF555" s="11"/>
    </row>
    <row r="556" spans="3:32" ht="11.25" customHeight="1" x14ac:dyDescent="0.35">
      <c r="C556" s="8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R556" s="40"/>
      <c r="S556" s="10"/>
      <c r="T556" s="10"/>
      <c r="U556" s="10"/>
      <c r="V556" s="10"/>
      <c r="W556" s="10"/>
      <c r="X556" s="10"/>
      <c r="Y556" s="10"/>
      <c r="Z556" s="10"/>
      <c r="AB556" s="28"/>
      <c r="AC556" s="11"/>
      <c r="AD556" s="11"/>
      <c r="AE556" s="11"/>
      <c r="AF556" s="11"/>
    </row>
    <row r="557" spans="3:32" ht="11.25" customHeight="1" x14ac:dyDescent="0.35">
      <c r="C557" s="8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R557" s="40"/>
      <c r="S557" s="10"/>
      <c r="T557" s="10"/>
      <c r="U557" s="10"/>
      <c r="V557" s="10"/>
      <c r="W557" s="10"/>
      <c r="X557" s="10"/>
      <c r="Y557" s="10"/>
      <c r="Z557" s="10"/>
      <c r="AB557" s="28"/>
      <c r="AC557" s="11"/>
      <c r="AD557" s="11"/>
      <c r="AE557" s="11"/>
      <c r="AF557" s="11"/>
    </row>
    <row r="558" spans="3:32" ht="11.25" customHeight="1" x14ac:dyDescent="0.35">
      <c r="C558" s="8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R558" s="40"/>
      <c r="S558" s="10"/>
      <c r="T558" s="10"/>
      <c r="U558" s="10"/>
      <c r="V558" s="10"/>
      <c r="W558" s="10"/>
      <c r="X558" s="10"/>
      <c r="Y558" s="10"/>
      <c r="Z558" s="10"/>
      <c r="AB558" s="28"/>
      <c r="AC558" s="11"/>
      <c r="AD558" s="11"/>
      <c r="AE558" s="11"/>
      <c r="AF558" s="11"/>
    </row>
    <row r="559" spans="3:32" ht="11.25" customHeight="1" x14ac:dyDescent="0.35">
      <c r="C559" s="8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R559" s="40"/>
      <c r="S559" s="10"/>
      <c r="T559" s="10"/>
      <c r="U559" s="10"/>
      <c r="V559" s="10"/>
      <c r="W559" s="10"/>
      <c r="X559" s="10"/>
      <c r="Y559" s="10"/>
      <c r="Z559" s="10"/>
      <c r="AB559" s="28"/>
      <c r="AC559" s="11"/>
      <c r="AD559" s="11"/>
      <c r="AE559" s="11"/>
      <c r="AF559" s="11"/>
    </row>
    <row r="560" spans="3:32" ht="11.25" customHeight="1" x14ac:dyDescent="0.35">
      <c r="C560" s="8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R560" s="40"/>
      <c r="S560" s="10"/>
      <c r="T560" s="10"/>
      <c r="U560" s="10"/>
      <c r="V560" s="10"/>
      <c r="W560" s="10"/>
      <c r="X560" s="10"/>
      <c r="Y560" s="10"/>
      <c r="Z560" s="10"/>
      <c r="AB560" s="28"/>
      <c r="AC560" s="11"/>
      <c r="AD560" s="11"/>
      <c r="AE560" s="11"/>
      <c r="AF560" s="11"/>
    </row>
    <row r="561" spans="3:32" ht="11.25" customHeight="1" x14ac:dyDescent="0.35">
      <c r="C561" s="8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R561" s="40"/>
      <c r="S561" s="10"/>
      <c r="T561" s="10"/>
      <c r="U561" s="10"/>
      <c r="V561" s="10"/>
      <c r="W561" s="10"/>
      <c r="X561" s="10"/>
      <c r="Y561" s="10"/>
      <c r="Z561" s="10"/>
      <c r="AB561" s="28"/>
      <c r="AC561" s="11"/>
      <c r="AD561" s="11"/>
      <c r="AE561" s="11"/>
      <c r="AF561" s="11"/>
    </row>
    <row r="562" spans="3:32" ht="11.25" customHeight="1" x14ac:dyDescent="0.35">
      <c r="C562" s="8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R562" s="40"/>
      <c r="S562" s="10"/>
      <c r="T562" s="10"/>
      <c r="U562" s="10"/>
      <c r="V562" s="10"/>
      <c r="W562" s="10"/>
      <c r="X562" s="10"/>
      <c r="Y562" s="10"/>
      <c r="Z562" s="10"/>
      <c r="AB562" s="28"/>
      <c r="AC562" s="11"/>
      <c r="AD562" s="11"/>
      <c r="AE562" s="11"/>
      <c r="AF562" s="11"/>
    </row>
    <row r="563" spans="3:32" ht="11.25" customHeight="1" x14ac:dyDescent="0.35">
      <c r="C563" s="8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R563" s="40"/>
      <c r="S563" s="10"/>
      <c r="T563" s="10"/>
      <c r="U563" s="10"/>
      <c r="V563" s="10"/>
      <c r="W563" s="10"/>
      <c r="X563" s="10"/>
      <c r="Y563" s="10"/>
      <c r="Z563" s="10"/>
      <c r="AB563" s="28"/>
      <c r="AC563" s="11"/>
      <c r="AD563" s="11"/>
      <c r="AE563" s="11"/>
      <c r="AF563" s="11"/>
    </row>
    <row r="564" spans="3:32" ht="11.25" customHeight="1" x14ac:dyDescent="0.35">
      <c r="C564" s="8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R564" s="40"/>
      <c r="S564" s="10"/>
      <c r="T564" s="10"/>
      <c r="U564" s="10"/>
      <c r="V564" s="10"/>
      <c r="W564" s="10"/>
      <c r="X564" s="10"/>
      <c r="Y564" s="10"/>
      <c r="Z564" s="10"/>
      <c r="AB564" s="28"/>
      <c r="AC564" s="11"/>
      <c r="AD564" s="11"/>
      <c r="AE564" s="11"/>
      <c r="AF564" s="11"/>
    </row>
    <row r="565" spans="3:32" ht="11.25" customHeight="1" x14ac:dyDescent="0.35">
      <c r="C565" s="8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R565" s="40"/>
      <c r="S565" s="10"/>
      <c r="T565" s="10"/>
      <c r="U565" s="10"/>
      <c r="V565" s="10"/>
      <c r="W565" s="10"/>
      <c r="X565" s="10"/>
      <c r="Y565" s="10"/>
      <c r="Z565" s="10"/>
      <c r="AB565" s="28"/>
      <c r="AC565" s="11"/>
      <c r="AD565" s="11"/>
      <c r="AE565" s="11"/>
      <c r="AF565" s="11"/>
    </row>
    <row r="566" spans="3:32" ht="11.25" customHeight="1" x14ac:dyDescent="0.35">
      <c r="C566" s="8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R566" s="40"/>
      <c r="S566" s="10"/>
      <c r="T566" s="10"/>
      <c r="U566" s="10"/>
      <c r="V566" s="10"/>
      <c r="W566" s="10"/>
      <c r="X566" s="10"/>
      <c r="Y566" s="10"/>
      <c r="Z566" s="10"/>
      <c r="AB566" s="28"/>
      <c r="AC566" s="11"/>
      <c r="AD566" s="11"/>
      <c r="AE566" s="11"/>
      <c r="AF566" s="11"/>
    </row>
    <row r="567" spans="3:32" ht="11.25" customHeight="1" x14ac:dyDescent="0.35">
      <c r="C567" s="8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R567" s="40"/>
      <c r="S567" s="10"/>
      <c r="T567" s="10"/>
      <c r="U567" s="10"/>
      <c r="V567" s="10"/>
      <c r="W567" s="10"/>
      <c r="X567" s="10"/>
      <c r="Y567" s="10"/>
      <c r="Z567" s="10"/>
      <c r="AB567" s="28"/>
      <c r="AC567" s="11"/>
      <c r="AD567" s="11"/>
      <c r="AE567" s="11"/>
      <c r="AF567" s="11"/>
    </row>
    <row r="568" spans="3:32" ht="11.25" customHeight="1" x14ac:dyDescent="0.35">
      <c r="C568" s="8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R568" s="40"/>
      <c r="S568" s="10"/>
      <c r="T568" s="10"/>
      <c r="U568" s="10"/>
      <c r="V568" s="10"/>
      <c r="W568" s="10"/>
      <c r="X568" s="10"/>
      <c r="Y568" s="10"/>
      <c r="Z568" s="10"/>
      <c r="AB568" s="28"/>
      <c r="AC568" s="11"/>
      <c r="AD568" s="11"/>
      <c r="AE568" s="11"/>
      <c r="AF568" s="11"/>
    </row>
    <row r="569" spans="3:32" ht="11.25" customHeight="1" x14ac:dyDescent="0.35">
      <c r="C569" s="8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R569" s="40"/>
      <c r="S569" s="10"/>
      <c r="T569" s="10"/>
      <c r="U569" s="10"/>
      <c r="V569" s="10"/>
      <c r="W569" s="10"/>
      <c r="X569" s="10"/>
      <c r="Y569" s="10"/>
      <c r="Z569" s="10"/>
      <c r="AB569" s="28"/>
      <c r="AC569" s="11"/>
      <c r="AD569" s="11"/>
      <c r="AE569" s="11"/>
      <c r="AF569" s="11"/>
    </row>
    <row r="570" spans="3:32" ht="11.25" customHeight="1" x14ac:dyDescent="0.35">
      <c r="C570" s="8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R570" s="40"/>
      <c r="S570" s="10"/>
      <c r="T570" s="10"/>
      <c r="U570" s="10"/>
      <c r="V570" s="10"/>
      <c r="W570" s="10"/>
      <c r="X570" s="10"/>
      <c r="Y570" s="10"/>
      <c r="Z570" s="10"/>
      <c r="AB570" s="28"/>
      <c r="AC570" s="11"/>
      <c r="AD570" s="11"/>
      <c r="AE570" s="11"/>
      <c r="AF570" s="11"/>
    </row>
    <row r="571" spans="3:32" ht="11.25" customHeight="1" x14ac:dyDescent="0.35">
      <c r="C571" s="8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R571" s="40"/>
      <c r="S571" s="10"/>
      <c r="T571" s="10"/>
      <c r="U571" s="10"/>
      <c r="V571" s="10"/>
      <c r="W571" s="10"/>
      <c r="X571" s="10"/>
      <c r="Y571" s="10"/>
      <c r="Z571" s="10"/>
      <c r="AB571" s="28"/>
      <c r="AC571" s="11"/>
      <c r="AD571" s="11"/>
      <c r="AE571" s="11"/>
      <c r="AF571" s="11"/>
    </row>
    <row r="572" spans="3:32" ht="11.25" customHeight="1" x14ac:dyDescent="0.35">
      <c r="C572" s="8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R572" s="40"/>
      <c r="S572" s="10"/>
      <c r="T572" s="10"/>
      <c r="U572" s="10"/>
      <c r="V572" s="10"/>
      <c r="W572" s="10"/>
      <c r="X572" s="10"/>
      <c r="Y572" s="10"/>
      <c r="Z572" s="10"/>
      <c r="AB572" s="28"/>
      <c r="AC572" s="11"/>
      <c r="AD572" s="11"/>
      <c r="AE572" s="11"/>
      <c r="AF572" s="11"/>
    </row>
    <row r="573" spans="3:32" ht="11.25" customHeight="1" x14ac:dyDescent="0.35">
      <c r="C573" s="8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R573" s="40"/>
      <c r="S573" s="10"/>
      <c r="T573" s="10"/>
      <c r="U573" s="10"/>
      <c r="V573" s="10"/>
      <c r="W573" s="10"/>
      <c r="X573" s="10"/>
      <c r="Y573" s="10"/>
      <c r="Z573" s="10"/>
      <c r="AB573" s="28"/>
      <c r="AC573" s="11"/>
      <c r="AD573" s="11"/>
      <c r="AE573" s="11"/>
      <c r="AF573" s="11"/>
    </row>
    <row r="574" spans="3:32" ht="11.25" customHeight="1" x14ac:dyDescent="0.35">
      <c r="C574" s="8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R574" s="40"/>
      <c r="S574" s="10"/>
      <c r="T574" s="10"/>
      <c r="U574" s="10"/>
      <c r="V574" s="10"/>
      <c r="W574" s="10"/>
      <c r="X574" s="10"/>
      <c r="Y574" s="10"/>
      <c r="Z574" s="10"/>
      <c r="AB574" s="28"/>
      <c r="AC574" s="11"/>
      <c r="AD574" s="11"/>
      <c r="AE574" s="11"/>
      <c r="AF574" s="11"/>
    </row>
    <row r="575" spans="3:32" ht="11.25" customHeight="1" x14ac:dyDescent="0.35">
      <c r="C575" s="8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R575" s="40"/>
      <c r="S575" s="10"/>
      <c r="T575" s="10"/>
      <c r="U575" s="10"/>
      <c r="V575" s="10"/>
      <c r="W575" s="10"/>
      <c r="X575" s="10"/>
      <c r="Y575" s="10"/>
      <c r="Z575" s="10"/>
      <c r="AB575" s="28"/>
      <c r="AC575" s="11"/>
      <c r="AD575" s="11"/>
      <c r="AE575" s="11"/>
      <c r="AF575" s="11"/>
    </row>
    <row r="576" spans="3:32" ht="11.25" customHeight="1" x14ac:dyDescent="0.35">
      <c r="C576" s="8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R576" s="40"/>
      <c r="S576" s="10"/>
      <c r="T576" s="10"/>
      <c r="U576" s="10"/>
      <c r="V576" s="10"/>
      <c r="W576" s="10"/>
      <c r="X576" s="10"/>
      <c r="Y576" s="10"/>
      <c r="Z576" s="10"/>
      <c r="AB576" s="28"/>
      <c r="AC576" s="11"/>
      <c r="AD576" s="11"/>
      <c r="AE576" s="11"/>
      <c r="AF576" s="11"/>
    </row>
    <row r="577" spans="3:32" ht="11.25" customHeight="1" x14ac:dyDescent="0.35">
      <c r="C577" s="8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R577" s="40"/>
      <c r="S577" s="10"/>
      <c r="T577" s="10"/>
      <c r="U577" s="10"/>
      <c r="V577" s="10"/>
      <c r="W577" s="10"/>
      <c r="X577" s="10"/>
      <c r="Y577" s="10"/>
      <c r="Z577" s="10"/>
      <c r="AB577" s="28"/>
      <c r="AC577" s="11"/>
      <c r="AD577" s="11"/>
      <c r="AE577" s="11"/>
      <c r="AF577" s="11"/>
    </row>
    <row r="578" spans="3:32" ht="11.25" customHeight="1" x14ac:dyDescent="0.35">
      <c r="C578" s="8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R578" s="40"/>
      <c r="S578" s="10"/>
      <c r="T578" s="10"/>
      <c r="U578" s="10"/>
      <c r="V578" s="10"/>
      <c r="W578" s="10"/>
      <c r="X578" s="10"/>
      <c r="Y578" s="10"/>
      <c r="Z578" s="10"/>
      <c r="AB578" s="28"/>
      <c r="AC578" s="11"/>
      <c r="AD578" s="11"/>
      <c r="AE578" s="11"/>
      <c r="AF578" s="11"/>
    </row>
    <row r="579" spans="3:32" ht="11.25" customHeight="1" x14ac:dyDescent="0.35">
      <c r="C579" s="8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R579" s="40"/>
      <c r="S579" s="10"/>
      <c r="T579" s="10"/>
      <c r="U579" s="10"/>
      <c r="V579" s="10"/>
      <c r="W579" s="10"/>
      <c r="X579" s="10"/>
      <c r="Y579" s="10"/>
      <c r="Z579" s="10"/>
      <c r="AB579" s="28"/>
      <c r="AC579" s="11"/>
      <c r="AD579" s="11"/>
      <c r="AE579" s="11"/>
      <c r="AF579" s="11"/>
    </row>
    <row r="580" spans="3:32" ht="11.25" customHeight="1" x14ac:dyDescent="0.35">
      <c r="C580" s="8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R580" s="40"/>
      <c r="S580" s="10"/>
      <c r="T580" s="10"/>
      <c r="U580" s="10"/>
      <c r="V580" s="10"/>
      <c r="W580" s="10"/>
      <c r="X580" s="10"/>
      <c r="Y580" s="10"/>
      <c r="Z580" s="10"/>
      <c r="AB580" s="28"/>
      <c r="AC580" s="11"/>
      <c r="AD580" s="11"/>
      <c r="AE580" s="11"/>
      <c r="AF580" s="11"/>
    </row>
    <row r="581" spans="3:32" ht="11.25" customHeight="1" x14ac:dyDescent="0.35">
      <c r="C581" s="8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R581" s="40"/>
      <c r="S581" s="10"/>
      <c r="T581" s="10"/>
      <c r="U581" s="10"/>
      <c r="V581" s="10"/>
      <c r="W581" s="10"/>
      <c r="X581" s="10"/>
      <c r="Y581" s="10"/>
      <c r="Z581" s="10"/>
      <c r="AB581" s="28"/>
      <c r="AC581" s="11"/>
      <c r="AD581" s="11"/>
      <c r="AE581" s="11"/>
      <c r="AF581" s="11"/>
    </row>
    <row r="582" spans="3:32" ht="11.25" customHeight="1" x14ac:dyDescent="0.35">
      <c r="C582" s="8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R582" s="40"/>
      <c r="S582" s="10"/>
      <c r="T582" s="10"/>
      <c r="U582" s="10"/>
      <c r="V582" s="10"/>
      <c r="W582" s="10"/>
      <c r="X582" s="10"/>
      <c r="Y582" s="10"/>
      <c r="Z582" s="10"/>
      <c r="AB582" s="28"/>
      <c r="AC582" s="11"/>
      <c r="AD582" s="11"/>
      <c r="AE582" s="11"/>
      <c r="AF582" s="11"/>
    </row>
    <row r="583" spans="3:32" ht="11.25" customHeight="1" x14ac:dyDescent="0.35">
      <c r="C583" s="8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R583" s="40"/>
      <c r="S583" s="10"/>
      <c r="T583" s="10"/>
      <c r="U583" s="10"/>
      <c r="V583" s="10"/>
      <c r="W583" s="10"/>
      <c r="X583" s="10"/>
      <c r="Y583" s="10"/>
      <c r="Z583" s="10"/>
      <c r="AB583" s="28"/>
      <c r="AC583" s="11"/>
      <c r="AD583" s="11"/>
      <c r="AE583" s="11"/>
      <c r="AF583" s="11"/>
    </row>
    <row r="584" spans="3:32" ht="11.25" customHeight="1" x14ac:dyDescent="0.35">
      <c r="C584" s="8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R584" s="40"/>
      <c r="S584" s="10"/>
      <c r="T584" s="10"/>
      <c r="U584" s="10"/>
      <c r="V584" s="10"/>
      <c r="W584" s="10"/>
      <c r="X584" s="10"/>
      <c r="Y584" s="10"/>
      <c r="Z584" s="10"/>
      <c r="AB584" s="28"/>
      <c r="AC584" s="11"/>
      <c r="AD584" s="11"/>
      <c r="AE584" s="11"/>
      <c r="AF584" s="11"/>
    </row>
    <row r="585" spans="3:32" ht="11.25" customHeight="1" x14ac:dyDescent="0.35">
      <c r="C585" s="8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R585" s="40"/>
      <c r="S585" s="10"/>
      <c r="T585" s="10"/>
      <c r="U585" s="10"/>
      <c r="V585" s="10"/>
      <c r="W585" s="10"/>
      <c r="X585" s="10"/>
      <c r="Y585" s="10"/>
      <c r="Z585" s="10"/>
      <c r="AB585" s="28"/>
      <c r="AC585" s="11"/>
      <c r="AD585" s="11"/>
      <c r="AE585" s="11"/>
      <c r="AF585" s="11"/>
    </row>
    <row r="586" spans="3:32" ht="11.25" customHeight="1" x14ac:dyDescent="0.35">
      <c r="C586" s="8"/>
      <c r="R586" s="40"/>
      <c r="AB586" s="28"/>
      <c r="AC586" s="11"/>
      <c r="AD586" s="11"/>
      <c r="AE586" s="11"/>
      <c r="AF586" s="11"/>
    </row>
    <row r="587" spans="3:32" ht="11.25" customHeight="1" x14ac:dyDescent="0.35">
      <c r="C587" s="8"/>
      <c r="R587" s="40"/>
      <c r="AB587" s="28"/>
      <c r="AC587" s="11"/>
      <c r="AD587" s="11"/>
      <c r="AE587" s="11"/>
      <c r="AF587" s="11"/>
    </row>
    <row r="588" spans="3:32" ht="11.25" customHeight="1" x14ac:dyDescent="0.35">
      <c r="C588" s="8"/>
      <c r="R588" s="40"/>
      <c r="AB588" s="28"/>
      <c r="AC588" s="11"/>
      <c r="AD588" s="11"/>
      <c r="AE588" s="11"/>
      <c r="AF588" s="11"/>
    </row>
    <row r="589" spans="3:32" ht="11.25" customHeight="1" x14ac:dyDescent="0.35">
      <c r="C589" s="8"/>
      <c r="R589" s="40"/>
      <c r="AB589" s="28"/>
      <c r="AC589" s="11"/>
      <c r="AD589" s="11"/>
      <c r="AE589" s="11"/>
      <c r="AF589" s="11"/>
    </row>
    <row r="590" spans="3:32" ht="11.25" customHeight="1" x14ac:dyDescent="0.35">
      <c r="C590" s="8"/>
      <c r="R590" s="40"/>
      <c r="AB590" s="28"/>
      <c r="AC590" s="11"/>
      <c r="AD590" s="11"/>
      <c r="AE590" s="11"/>
      <c r="AF590" s="11"/>
    </row>
    <row r="591" spans="3:32" ht="11.25" customHeight="1" x14ac:dyDescent="0.35">
      <c r="C591" s="8"/>
      <c r="R591" s="40"/>
      <c r="AB591" s="28"/>
      <c r="AC591" s="11"/>
      <c r="AD591" s="11"/>
      <c r="AE591" s="11"/>
      <c r="AF591" s="11"/>
    </row>
    <row r="592" spans="3:32" ht="11.25" customHeight="1" x14ac:dyDescent="0.35">
      <c r="C592" s="8"/>
      <c r="R592" s="40"/>
      <c r="AB592" s="28"/>
      <c r="AC592" s="11"/>
      <c r="AD592" s="11"/>
      <c r="AE592" s="11"/>
      <c r="AF592" s="11"/>
    </row>
    <row r="593" spans="3:32" ht="11.25" customHeight="1" x14ac:dyDescent="0.35">
      <c r="C593" s="8"/>
      <c r="R593" s="40"/>
      <c r="AB593" s="28"/>
      <c r="AC593" s="11"/>
      <c r="AD593" s="11"/>
      <c r="AE593" s="11"/>
      <c r="AF593" s="11"/>
    </row>
    <row r="594" spans="3:32" ht="11.25" customHeight="1" x14ac:dyDescent="0.35">
      <c r="C594" s="8"/>
      <c r="R594" s="40"/>
      <c r="AB594" s="28"/>
      <c r="AC594" s="11"/>
      <c r="AD594" s="11"/>
      <c r="AE594" s="11"/>
      <c r="AF594" s="11"/>
    </row>
    <row r="595" spans="3:32" ht="11.25" customHeight="1" x14ac:dyDescent="0.35">
      <c r="C595" s="8"/>
      <c r="R595" s="40"/>
      <c r="AB595" s="28"/>
      <c r="AC595" s="11"/>
      <c r="AD595" s="11"/>
      <c r="AE595" s="11"/>
      <c r="AF595" s="11"/>
    </row>
    <row r="596" spans="3:32" ht="11.25" customHeight="1" x14ac:dyDescent="0.35">
      <c r="C596" s="8"/>
      <c r="R596" s="40"/>
      <c r="AB596" s="28"/>
      <c r="AC596" s="11"/>
      <c r="AD596" s="11"/>
      <c r="AE596" s="11"/>
      <c r="AF596" s="11"/>
    </row>
    <row r="597" spans="3:32" ht="11.25" customHeight="1" x14ac:dyDescent="0.35">
      <c r="C597" s="8"/>
      <c r="R597" s="40"/>
      <c r="AB597" s="28"/>
      <c r="AC597" s="11"/>
      <c r="AD597" s="11"/>
      <c r="AE597" s="11"/>
      <c r="AF597" s="11"/>
    </row>
    <row r="598" spans="3:32" ht="11.25" customHeight="1" x14ac:dyDescent="0.35">
      <c r="C598" s="8"/>
      <c r="R598" s="40"/>
      <c r="AB598" s="28"/>
      <c r="AC598" s="11"/>
      <c r="AD598" s="11"/>
      <c r="AE598" s="11"/>
      <c r="AF598" s="11"/>
    </row>
    <row r="599" spans="3:32" ht="11.25" customHeight="1" x14ac:dyDescent="0.35">
      <c r="C599" s="8"/>
      <c r="R599" s="40"/>
      <c r="AB599" s="28"/>
      <c r="AC599" s="11"/>
      <c r="AD599" s="11"/>
      <c r="AE599" s="11"/>
      <c r="AF599" s="11"/>
    </row>
    <row r="600" spans="3:32" ht="11.25" customHeight="1" x14ac:dyDescent="0.35">
      <c r="C600" s="8"/>
      <c r="R600" s="40"/>
      <c r="AB600" s="28"/>
      <c r="AC600" s="11"/>
      <c r="AD600" s="11"/>
      <c r="AE600" s="11"/>
      <c r="AF600" s="11"/>
    </row>
    <row r="601" spans="3:32" ht="11.25" customHeight="1" x14ac:dyDescent="0.35">
      <c r="C601" s="8"/>
      <c r="R601" s="40"/>
      <c r="AB601" s="28"/>
      <c r="AC601" s="11"/>
      <c r="AD601" s="11"/>
      <c r="AE601" s="11"/>
      <c r="AF601" s="11"/>
    </row>
    <row r="602" spans="3:32" ht="11.25" customHeight="1" x14ac:dyDescent="0.35">
      <c r="C602" s="8"/>
      <c r="R602" s="40"/>
      <c r="AB602" s="28"/>
      <c r="AC602" s="11"/>
      <c r="AD602" s="11"/>
      <c r="AE602" s="11"/>
      <c r="AF602" s="11"/>
    </row>
    <row r="603" spans="3:32" ht="11.25" customHeight="1" x14ac:dyDescent="0.35">
      <c r="C603" s="8"/>
      <c r="R603" s="40"/>
      <c r="AB603" s="28"/>
      <c r="AC603" s="11"/>
      <c r="AD603" s="11"/>
      <c r="AE603" s="11"/>
      <c r="AF603" s="11"/>
    </row>
    <row r="604" spans="3:32" ht="11.25" customHeight="1" x14ac:dyDescent="0.35">
      <c r="C604" s="8"/>
      <c r="R604" s="40"/>
      <c r="AB604" s="28"/>
      <c r="AC604" s="11"/>
      <c r="AD604" s="11"/>
      <c r="AE604" s="11"/>
      <c r="AF604" s="11"/>
    </row>
    <row r="605" spans="3:32" ht="11.25" customHeight="1" x14ac:dyDescent="0.35">
      <c r="C605" s="8"/>
      <c r="R605" s="40"/>
      <c r="AB605" s="28"/>
      <c r="AC605" s="11"/>
      <c r="AD605" s="11"/>
      <c r="AE605" s="11"/>
      <c r="AF605" s="11"/>
    </row>
    <row r="606" spans="3:32" ht="11.25" customHeight="1" x14ac:dyDescent="0.35">
      <c r="C606" s="8"/>
      <c r="R606" s="40"/>
      <c r="AB606" s="28"/>
      <c r="AC606" s="11"/>
      <c r="AD606" s="11"/>
      <c r="AE606" s="11"/>
      <c r="AF606" s="11"/>
    </row>
    <row r="607" spans="3:32" ht="11.25" customHeight="1" x14ac:dyDescent="0.35">
      <c r="C607" s="8"/>
      <c r="R607" s="40"/>
      <c r="AB607" s="28"/>
      <c r="AC607" s="11"/>
      <c r="AD607" s="11"/>
      <c r="AE607" s="11"/>
      <c r="AF607" s="11"/>
    </row>
    <row r="608" spans="3:32" ht="11.25" customHeight="1" x14ac:dyDescent="0.35">
      <c r="C608" s="8"/>
      <c r="R608" s="40"/>
      <c r="AB608" s="28"/>
      <c r="AC608" s="11"/>
      <c r="AD608" s="11"/>
      <c r="AE608" s="11"/>
      <c r="AF608" s="11"/>
    </row>
    <row r="609" spans="3:32" ht="11.25" customHeight="1" x14ac:dyDescent="0.35">
      <c r="C609" s="8"/>
      <c r="R609" s="40"/>
      <c r="AB609" s="28"/>
      <c r="AC609" s="11"/>
      <c r="AD609" s="11"/>
      <c r="AE609" s="11"/>
      <c r="AF609" s="11"/>
    </row>
    <row r="610" spans="3:32" ht="11.25" customHeight="1" x14ac:dyDescent="0.35">
      <c r="C610" s="8"/>
      <c r="R610" s="40"/>
      <c r="AB610" s="28"/>
      <c r="AC610" s="11"/>
      <c r="AD610" s="11"/>
      <c r="AE610" s="11"/>
      <c r="AF610" s="11"/>
    </row>
    <row r="611" spans="3:32" ht="11.25" customHeight="1" x14ac:dyDescent="0.35">
      <c r="C611" s="8"/>
      <c r="R611" s="40"/>
      <c r="AB611" s="28"/>
      <c r="AC611" s="11"/>
      <c r="AD611" s="11"/>
      <c r="AE611" s="11"/>
      <c r="AF611" s="11"/>
    </row>
    <row r="612" spans="3:32" ht="11.25" customHeight="1" x14ac:dyDescent="0.35">
      <c r="C612" s="8"/>
      <c r="R612" s="40"/>
      <c r="AB612" s="28"/>
      <c r="AC612" s="11"/>
      <c r="AD612" s="11"/>
      <c r="AE612" s="11"/>
      <c r="AF612" s="11"/>
    </row>
    <row r="613" spans="3:32" ht="11.25" customHeight="1" x14ac:dyDescent="0.35">
      <c r="C613" s="8"/>
      <c r="R613" s="40"/>
      <c r="AB613" s="28"/>
      <c r="AC613" s="11"/>
      <c r="AD613" s="11"/>
      <c r="AE613" s="11"/>
      <c r="AF613" s="11"/>
    </row>
    <row r="614" spans="3:32" ht="11.25" customHeight="1" x14ac:dyDescent="0.35">
      <c r="C614" s="8"/>
      <c r="R614" s="40"/>
      <c r="AB614" s="28"/>
      <c r="AC614" s="11"/>
      <c r="AD614" s="11"/>
      <c r="AE614" s="11"/>
      <c r="AF614" s="11"/>
    </row>
    <row r="615" spans="3:32" ht="11.25" customHeight="1" x14ac:dyDescent="0.35">
      <c r="C615" s="8"/>
      <c r="R615" s="40"/>
      <c r="AB615" s="28"/>
      <c r="AC615" s="11"/>
      <c r="AD615" s="11"/>
      <c r="AE615" s="11"/>
      <c r="AF615" s="11"/>
    </row>
    <row r="616" spans="3:32" ht="11.25" customHeight="1" x14ac:dyDescent="0.35">
      <c r="C616" s="8"/>
      <c r="R616" s="40"/>
      <c r="AB616" s="28"/>
      <c r="AC616" s="11"/>
      <c r="AD616" s="11"/>
      <c r="AE616" s="11"/>
      <c r="AF616" s="11"/>
    </row>
    <row r="617" spans="3:32" ht="11.25" customHeight="1" x14ac:dyDescent="0.35">
      <c r="C617" s="8"/>
      <c r="R617" s="40"/>
      <c r="AB617" s="28"/>
      <c r="AC617" s="11"/>
      <c r="AD617" s="11"/>
      <c r="AE617" s="11"/>
      <c r="AF617" s="11"/>
    </row>
    <row r="618" spans="3:32" ht="11.25" customHeight="1" x14ac:dyDescent="0.35">
      <c r="C618" s="8"/>
      <c r="R618" s="40"/>
      <c r="AB618" s="28"/>
      <c r="AC618" s="11"/>
      <c r="AD618" s="11"/>
      <c r="AE618" s="11"/>
      <c r="AF618" s="11"/>
    </row>
    <row r="619" spans="3:32" ht="11.25" customHeight="1" x14ac:dyDescent="0.35">
      <c r="C619" s="8"/>
      <c r="R619" s="40"/>
      <c r="AB619" s="28"/>
      <c r="AC619" s="11"/>
      <c r="AD619" s="11"/>
      <c r="AE619" s="11"/>
      <c r="AF619" s="11"/>
    </row>
    <row r="620" spans="3:32" ht="11.25" customHeight="1" x14ac:dyDescent="0.35">
      <c r="C620" s="8"/>
      <c r="R620" s="40"/>
      <c r="AB620" s="28"/>
      <c r="AC620" s="11"/>
      <c r="AD620" s="11"/>
      <c r="AE620" s="11"/>
      <c r="AF620" s="11"/>
    </row>
    <row r="621" spans="3:32" ht="11.25" customHeight="1" x14ac:dyDescent="0.35">
      <c r="C621" s="8"/>
      <c r="R621" s="40"/>
      <c r="AB621" s="28"/>
      <c r="AC621" s="11"/>
      <c r="AD621" s="11"/>
      <c r="AE621" s="11"/>
      <c r="AF621" s="11"/>
    </row>
    <row r="622" spans="3:32" ht="11.25" customHeight="1" x14ac:dyDescent="0.35">
      <c r="C622" s="8"/>
      <c r="R622" s="40"/>
      <c r="AB622" s="28"/>
      <c r="AC622" s="11"/>
      <c r="AD622" s="11"/>
      <c r="AE622" s="11"/>
      <c r="AF622" s="11"/>
    </row>
    <row r="623" spans="3:32" ht="11.25" customHeight="1" x14ac:dyDescent="0.35">
      <c r="C623" s="8"/>
      <c r="R623" s="40"/>
      <c r="AB623" s="28"/>
      <c r="AC623" s="11"/>
      <c r="AD623" s="11"/>
      <c r="AE623" s="11"/>
      <c r="AF623" s="11"/>
    </row>
    <row r="624" spans="3:32" ht="11.25" customHeight="1" x14ac:dyDescent="0.35">
      <c r="C624" s="8"/>
      <c r="R624" s="40"/>
      <c r="AB624" s="28"/>
      <c r="AC624" s="11"/>
      <c r="AD624" s="11"/>
      <c r="AE624" s="11"/>
      <c r="AF624" s="11"/>
    </row>
    <row r="625" spans="3:32" ht="11.25" customHeight="1" x14ac:dyDescent="0.35">
      <c r="C625" s="8"/>
      <c r="R625" s="40"/>
      <c r="AB625" s="28"/>
      <c r="AC625" s="11"/>
      <c r="AD625" s="11"/>
      <c r="AE625" s="11"/>
      <c r="AF625" s="11"/>
    </row>
    <row r="626" spans="3:32" ht="11.25" customHeight="1" x14ac:dyDescent="0.35">
      <c r="C626" s="8"/>
      <c r="R626" s="40"/>
      <c r="AB626" s="28"/>
      <c r="AC626" s="11"/>
      <c r="AD626" s="11"/>
      <c r="AE626" s="11"/>
      <c r="AF626" s="11"/>
    </row>
    <row r="627" spans="3:32" ht="11.25" customHeight="1" x14ac:dyDescent="0.35">
      <c r="C627" s="8"/>
      <c r="R627" s="40"/>
      <c r="AB627" s="28"/>
      <c r="AC627" s="11"/>
      <c r="AD627" s="11"/>
      <c r="AE627" s="11"/>
      <c r="AF627" s="11"/>
    </row>
    <row r="628" spans="3:32" ht="11.25" customHeight="1" x14ac:dyDescent="0.35">
      <c r="C628" s="8"/>
      <c r="R628" s="40"/>
      <c r="AB628" s="28"/>
      <c r="AC628" s="11"/>
      <c r="AD628" s="11"/>
      <c r="AE628" s="11"/>
      <c r="AF628" s="11"/>
    </row>
    <row r="629" spans="3:32" ht="11.25" customHeight="1" x14ac:dyDescent="0.35">
      <c r="C629" s="8"/>
      <c r="R629" s="40"/>
      <c r="AB629" s="28"/>
      <c r="AC629" s="11"/>
      <c r="AD629" s="11"/>
      <c r="AE629" s="11"/>
      <c r="AF629" s="11"/>
    </row>
    <row r="630" spans="3:32" ht="11.25" customHeight="1" x14ac:dyDescent="0.35">
      <c r="C630" s="8"/>
      <c r="R630" s="40"/>
      <c r="AB630" s="28"/>
      <c r="AC630" s="11"/>
      <c r="AD630" s="11"/>
      <c r="AE630" s="11"/>
      <c r="AF630" s="11"/>
    </row>
    <row r="631" spans="3:32" ht="11.25" customHeight="1" x14ac:dyDescent="0.35">
      <c r="C631" s="8"/>
      <c r="R631" s="40"/>
      <c r="AB631" s="28"/>
      <c r="AC631" s="11"/>
      <c r="AD631" s="11"/>
      <c r="AE631" s="11"/>
      <c r="AF631" s="11"/>
    </row>
    <row r="632" spans="3:32" ht="11.25" customHeight="1" x14ac:dyDescent="0.35">
      <c r="C632" s="8"/>
      <c r="R632" s="40"/>
      <c r="AB632" s="28"/>
      <c r="AC632" s="11"/>
      <c r="AD632" s="11"/>
      <c r="AE632" s="11"/>
      <c r="AF632" s="11"/>
    </row>
    <row r="633" spans="3:32" ht="11.25" customHeight="1" x14ac:dyDescent="0.35">
      <c r="C633" s="8"/>
      <c r="R633" s="40"/>
      <c r="AB633" s="28"/>
      <c r="AC633" s="11"/>
      <c r="AD633" s="11"/>
      <c r="AE633" s="11"/>
      <c r="AF633" s="11"/>
    </row>
    <row r="634" spans="3:32" ht="11.25" customHeight="1" x14ac:dyDescent="0.35">
      <c r="C634" s="8"/>
      <c r="R634" s="40"/>
      <c r="AB634" s="28"/>
      <c r="AC634" s="11"/>
      <c r="AD634" s="11"/>
      <c r="AE634" s="11"/>
      <c r="AF634" s="11"/>
    </row>
    <row r="635" spans="3:32" ht="11.25" customHeight="1" x14ac:dyDescent="0.35">
      <c r="C635" s="8"/>
      <c r="R635" s="40"/>
      <c r="AB635" s="28"/>
      <c r="AC635" s="11"/>
      <c r="AD635" s="11"/>
      <c r="AE635" s="11"/>
      <c r="AF635" s="11"/>
    </row>
    <row r="636" spans="3:32" ht="11.25" customHeight="1" x14ac:dyDescent="0.35">
      <c r="C636" s="8"/>
      <c r="R636" s="40"/>
      <c r="AB636" s="28"/>
      <c r="AC636" s="11"/>
      <c r="AD636" s="11"/>
      <c r="AE636" s="11"/>
      <c r="AF636" s="11"/>
    </row>
    <row r="637" spans="3:32" ht="11.25" customHeight="1" x14ac:dyDescent="0.35">
      <c r="C637" s="8"/>
      <c r="R637" s="40"/>
      <c r="AB637" s="28"/>
      <c r="AC637" s="11"/>
      <c r="AD637" s="11"/>
      <c r="AE637" s="11"/>
      <c r="AF637" s="11"/>
    </row>
    <row r="638" spans="3:32" ht="11.25" customHeight="1" x14ac:dyDescent="0.35">
      <c r="C638" s="8"/>
      <c r="R638" s="40"/>
      <c r="AB638" s="28"/>
      <c r="AC638" s="11"/>
      <c r="AD638" s="11"/>
      <c r="AE638" s="11"/>
      <c r="AF638" s="11"/>
    </row>
    <row r="639" spans="3:32" ht="11.25" customHeight="1" x14ac:dyDescent="0.35">
      <c r="C639" s="8"/>
      <c r="R639" s="40"/>
      <c r="AB639" s="28"/>
      <c r="AC639" s="11"/>
      <c r="AD639" s="11"/>
      <c r="AE639" s="11"/>
      <c r="AF639" s="11"/>
    </row>
    <row r="640" spans="3:32" ht="11.25" customHeight="1" x14ac:dyDescent="0.35">
      <c r="C640" s="8"/>
      <c r="R640" s="40"/>
      <c r="AB640" s="28"/>
      <c r="AC640" s="11"/>
      <c r="AD640" s="11"/>
      <c r="AE640" s="11"/>
      <c r="AF640" s="11"/>
    </row>
    <row r="641" spans="3:32" ht="11.25" customHeight="1" x14ac:dyDescent="0.35">
      <c r="C641" s="8"/>
      <c r="R641" s="40"/>
      <c r="AB641" s="28"/>
      <c r="AC641" s="11"/>
      <c r="AD641" s="11"/>
      <c r="AE641" s="11"/>
      <c r="AF641" s="11"/>
    </row>
    <row r="642" spans="3:32" ht="11.25" customHeight="1" x14ac:dyDescent="0.35">
      <c r="C642" s="8"/>
      <c r="R642" s="40"/>
      <c r="AB642" s="28"/>
      <c r="AC642" s="11"/>
      <c r="AD642" s="11"/>
      <c r="AE642" s="11"/>
      <c r="AF642" s="11"/>
    </row>
    <row r="643" spans="3:32" ht="11.25" customHeight="1" x14ac:dyDescent="0.35">
      <c r="C643" s="8"/>
      <c r="R643" s="40"/>
      <c r="AB643" s="28"/>
      <c r="AC643" s="11"/>
      <c r="AD643" s="11"/>
      <c r="AE643" s="11"/>
      <c r="AF643" s="11"/>
    </row>
    <row r="644" spans="3:32" ht="11.25" customHeight="1" x14ac:dyDescent="0.35">
      <c r="C644" s="8"/>
      <c r="R644" s="40"/>
      <c r="AB644" s="28"/>
      <c r="AC644" s="11"/>
      <c r="AD644" s="11"/>
      <c r="AE644" s="11"/>
      <c r="AF644" s="11"/>
    </row>
    <row r="645" spans="3:32" ht="11.25" customHeight="1" x14ac:dyDescent="0.35">
      <c r="C645" s="8"/>
      <c r="R645" s="40"/>
      <c r="AB645" s="28"/>
      <c r="AC645" s="11"/>
      <c r="AD645" s="11"/>
      <c r="AE645" s="11"/>
      <c r="AF645" s="11"/>
    </row>
    <row r="646" spans="3:32" ht="11.25" customHeight="1" x14ac:dyDescent="0.35">
      <c r="C646" s="8"/>
      <c r="R646" s="40"/>
      <c r="AB646" s="28"/>
      <c r="AC646" s="11"/>
      <c r="AD646" s="11"/>
      <c r="AE646" s="11"/>
      <c r="AF646" s="11"/>
    </row>
    <row r="647" spans="3:32" ht="11.25" customHeight="1" x14ac:dyDescent="0.35">
      <c r="C647" s="8"/>
      <c r="R647" s="40"/>
      <c r="AB647" s="28"/>
      <c r="AC647" s="11"/>
      <c r="AD647" s="11"/>
      <c r="AE647" s="11"/>
      <c r="AF647" s="11"/>
    </row>
    <row r="648" spans="3:32" ht="11.25" customHeight="1" x14ac:dyDescent="0.35">
      <c r="C648" s="8"/>
      <c r="R648" s="40"/>
      <c r="AB648" s="28"/>
      <c r="AC648" s="11"/>
      <c r="AD648" s="11"/>
      <c r="AE648" s="11"/>
      <c r="AF648" s="11"/>
    </row>
    <row r="649" spans="3:32" ht="11.25" customHeight="1" x14ac:dyDescent="0.35">
      <c r="C649" s="8"/>
      <c r="R649" s="40"/>
      <c r="AB649" s="28"/>
      <c r="AC649" s="11"/>
      <c r="AD649" s="11"/>
      <c r="AE649" s="11"/>
      <c r="AF649" s="11"/>
    </row>
    <row r="650" spans="3:32" ht="11.25" customHeight="1" x14ac:dyDescent="0.35">
      <c r="C650" s="8"/>
      <c r="R650" s="40"/>
      <c r="AB650" s="28"/>
      <c r="AC650" s="11"/>
      <c r="AD650" s="11"/>
      <c r="AE650" s="11"/>
      <c r="AF650" s="11"/>
    </row>
    <row r="651" spans="3:32" ht="11.25" customHeight="1" x14ac:dyDescent="0.35">
      <c r="C651" s="8"/>
      <c r="R651" s="40"/>
      <c r="AB651" s="28"/>
      <c r="AC651" s="11"/>
      <c r="AD651" s="11"/>
      <c r="AE651" s="11"/>
      <c r="AF651" s="11"/>
    </row>
    <row r="652" spans="3:32" ht="11.25" customHeight="1" x14ac:dyDescent="0.35">
      <c r="C652" s="8"/>
      <c r="R652" s="40"/>
      <c r="AB652" s="28"/>
      <c r="AC652" s="11"/>
      <c r="AD652" s="11"/>
      <c r="AE652" s="11"/>
      <c r="AF652" s="11"/>
    </row>
    <row r="653" spans="3:32" ht="11.25" customHeight="1" x14ac:dyDescent="0.35">
      <c r="C653" s="8"/>
      <c r="R653" s="40"/>
      <c r="AB653" s="28"/>
      <c r="AC653" s="11"/>
      <c r="AD653" s="11"/>
      <c r="AE653" s="11"/>
      <c r="AF653" s="11"/>
    </row>
    <row r="654" spans="3:32" ht="11.25" customHeight="1" x14ac:dyDescent="0.35">
      <c r="C654" s="8"/>
      <c r="R654" s="40"/>
      <c r="AB654" s="28"/>
      <c r="AC654" s="11"/>
      <c r="AD654" s="11"/>
      <c r="AE654" s="11"/>
      <c r="AF654" s="11"/>
    </row>
    <row r="655" spans="3:32" ht="11.25" customHeight="1" x14ac:dyDescent="0.35">
      <c r="C655" s="8"/>
      <c r="R655" s="40"/>
      <c r="AB655" s="28"/>
      <c r="AC655" s="11"/>
      <c r="AD655" s="11"/>
      <c r="AE655" s="11"/>
      <c r="AF655" s="11"/>
    </row>
    <row r="656" spans="3:32" ht="11.25" customHeight="1" x14ac:dyDescent="0.35">
      <c r="C656" s="8"/>
      <c r="R656" s="40"/>
      <c r="AB656" s="28"/>
      <c r="AC656" s="11"/>
      <c r="AD656" s="11"/>
      <c r="AE656" s="11"/>
      <c r="AF656" s="11"/>
    </row>
    <row r="657" spans="3:32" ht="11.25" customHeight="1" x14ac:dyDescent="0.35">
      <c r="C657" s="8"/>
      <c r="R657" s="40"/>
      <c r="AB657" s="28"/>
      <c r="AC657" s="11"/>
      <c r="AD657" s="11"/>
      <c r="AE657" s="11"/>
      <c r="AF657" s="11"/>
    </row>
    <row r="658" spans="3:32" ht="11.25" customHeight="1" x14ac:dyDescent="0.35">
      <c r="C658" s="8"/>
      <c r="R658" s="40"/>
      <c r="AB658" s="28"/>
      <c r="AC658" s="11"/>
      <c r="AD658" s="11"/>
      <c r="AE658" s="11"/>
      <c r="AF658" s="11"/>
    </row>
    <row r="659" spans="3:32" ht="11.25" customHeight="1" x14ac:dyDescent="0.35">
      <c r="C659" s="8"/>
      <c r="R659" s="40"/>
      <c r="AB659" s="28"/>
      <c r="AC659" s="11"/>
      <c r="AD659" s="11"/>
      <c r="AE659" s="11"/>
      <c r="AF659" s="11"/>
    </row>
    <row r="660" spans="3:32" ht="11.25" customHeight="1" x14ac:dyDescent="0.35">
      <c r="C660" s="8"/>
      <c r="R660" s="40"/>
      <c r="AB660" s="28"/>
      <c r="AC660" s="11"/>
      <c r="AD660" s="11"/>
      <c r="AE660" s="11"/>
      <c r="AF660" s="11"/>
    </row>
    <row r="661" spans="3:32" ht="11.25" customHeight="1" x14ac:dyDescent="0.35">
      <c r="C661" s="8"/>
      <c r="R661" s="40"/>
      <c r="AB661" s="28"/>
      <c r="AC661" s="11"/>
      <c r="AD661" s="11"/>
      <c r="AE661" s="11"/>
      <c r="AF661" s="11"/>
    </row>
    <row r="662" spans="3:32" ht="11.25" customHeight="1" x14ac:dyDescent="0.35">
      <c r="C662" s="8"/>
      <c r="R662" s="40"/>
      <c r="AB662" s="28"/>
      <c r="AC662" s="11"/>
      <c r="AD662" s="11"/>
      <c r="AE662" s="11"/>
      <c r="AF662" s="11"/>
    </row>
    <row r="663" spans="3:32" ht="11.25" customHeight="1" x14ac:dyDescent="0.35">
      <c r="C663" s="8"/>
      <c r="R663" s="40"/>
      <c r="AB663" s="28"/>
      <c r="AC663" s="11"/>
      <c r="AD663" s="11"/>
      <c r="AE663" s="11"/>
      <c r="AF663" s="11"/>
    </row>
    <row r="664" spans="3:32" ht="11.25" customHeight="1" x14ac:dyDescent="0.35">
      <c r="C664" s="8"/>
      <c r="R664" s="40"/>
      <c r="AB664" s="28"/>
      <c r="AC664" s="11"/>
      <c r="AD664" s="11"/>
      <c r="AE664" s="11"/>
      <c r="AF664" s="11"/>
    </row>
    <row r="665" spans="3:32" ht="11.25" customHeight="1" x14ac:dyDescent="0.35">
      <c r="C665" s="8"/>
      <c r="R665" s="40"/>
      <c r="AB665" s="28"/>
      <c r="AC665" s="11"/>
      <c r="AD665" s="11"/>
      <c r="AE665" s="11"/>
      <c r="AF665" s="11"/>
    </row>
    <row r="666" spans="3:32" ht="11.25" customHeight="1" x14ac:dyDescent="0.35">
      <c r="C666" s="8"/>
      <c r="R666" s="40"/>
      <c r="AB666" s="28"/>
      <c r="AC666" s="11"/>
      <c r="AD666" s="11"/>
      <c r="AE666" s="11"/>
      <c r="AF666" s="11"/>
    </row>
    <row r="667" spans="3:32" ht="11.25" customHeight="1" x14ac:dyDescent="0.35">
      <c r="C667" s="8"/>
      <c r="R667" s="40"/>
      <c r="AB667" s="28"/>
      <c r="AC667" s="11"/>
      <c r="AD667" s="11"/>
      <c r="AE667" s="11"/>
      <c r="AF667" s="11"/>
    </row>
    <row r="668" spans="3:32" ht="11.25" customHeight="1" x14ac:dyDescent="0.35">
      <c r="C668" s="8"/>
      <c r="R668" s="40"/>
      <c r="AB668" s="28"/>
      <c r="AC668" s="11"/>
      <c r="AD668" s="11"/>
      <c r="AE668" s="11"/>
      <c r="AF668" s="11"/>
    </row>
    <row r="669" spans="3:32" ht="11.25" customHeight="1" x14ac:dyDescent="0.35">
      <c r="C669" s="8"/>
      <c r="R669" s="40"/>
      <c r="AB669" s="28"/>
      <c r="AC669" s="11"/>
      <c r="AD669" s="11"/>
      <c r="AE669" s="11"/>
      <c r="AF669" s="11"/>
    </row>
    <row r="670" spans="3:32" ht="11.25" customHeight="1" x14ac:dyDescent="0.35">
      <c r="C670" s="8"/>
      <c r="R670" s="40"/>
      <c r="AB670" s="28"/>
      <c r="AC670" s="11"/>
      <c r="AD670" s="11"/>
      <c r="AE670" s="11"/>
      <c r="AF670" s="11"/>
    </row>
    <row r="671" spans="3:32" ht="11.25" customHeight="1" x14ac:dyDescent="0.35">
      <c r="C671" s="8"/>
      <c r="R671" s="40"/>
      <c r="AB671" s="28"/>
      <c r="AC671" s="11"/>
      <c r="AD671" s="11"/>
      <c r="AE671" s="11"/>
      <c r="AF671" s="11"/>
    </row>
    <row r="672" spans="3:32" ht="11.25" customHeight="1" x14ac:dyDescent="0.35">
      <c r="C672" s="8"/>
      <c r="R672" s="40"/>
      <c r="AB672" s="28"/>
      <c r="AC672" s="11"/>
      <c r="AD672" s="11"/>
      <c r="AE672" s="11"/>
      <c r="AF672" s="11"/>
    </row>
    <row r="673" spans="3:32" ht="11.25" customHeight="1" x14ac:dyDescent="0.35">
      <c r="C673" s="8"/>
      <c r="R673" s="40"/>
      <c r="AB673" s="28"/>
      <c r="AC673" s="11"/>
      <c r="AD673" s="11"/>
      <c r="AE673" s="11"/>
      <c r="AF673" s="11"/>
    </row>
    <row r="674" spans="3:32" ht="11.25" customHeight="1" x14ac:dyDescent="0.35">
      <c r="C674" s="8"/>
      <c r="R674" s="40"/>
      <c r="AB674" s="28"/>
      <c r="AC674" s="11"/>
      <c r="AD674" s="11"/>
      <c r="AE674" s="11"/>
      <c r="AF674" s="11"/>
    </row>
    <row r="675" spans="3:32" ht="11.25" customHeight="1" x14ac:dyDescent="0.35">
      <c r="C675" s="8"/>
      <c r="R675" s="40"/>
      <c r="AB675" s="28"/>
      <c r="AC675" s="11"/>
      <c r="AD675" s="11"/>
      <c r="AE675" s="11"/>
      <c r="AF675" s="11"/>
    </row>
    <row r="676" spans="3:32" ht="11.25" customHeight="1" x14ac:dyDescent="0.35">
      <c r="C676" s="8"/>
      <c r="R676" s="40"/>
      <c r="AB676" s="28"/>
      <c r="AC676" s="11"/>
      <c r="AD676" s="11"/>
      <c r="AE676" s="11"/>
      <c r="AF676" s="11"/>
    </row>
    <row r="677" spans="3:32" ht="11.25" customHeight="1" x14ac:dyDescent="0.35">
      <c r="C677" s="8"/>
      <c r="R677" s="40"/>
      <c r="AB677" s="28"/>
      <c r="AC677" s="11"/>
      <c r="AD677" s="11"/>
      <c r="AE677" s="11"/>
      <c r="AF677" s="11"/>
    </row>
    <row r="678" spans="3:32" ht="11.25" customHeight="1" x14ac:dyDescent="0.35">
      <c r="C678" s="8"/>
      <c r="R678" s="40"/>
      <c r="AB678" s="28"/>
      <c r="AC678" s="11"/>
      <c r="AD678" s="11"/>
      <c r="AE678" s="11"/>
      <c r="AF678" s="11"/>
    </row>
    <row r="679" spans="3:32" ht="11.25" customHeight="1" x14ac:dyDescent="0.35">
      <c r="C679" s="8"/>
      <c r="R679" s="40"/>
      <c r="AB679" s="28"/>
      <c r="AC679" s="11"/>
      <c r="AD679" s="11"/>
      <c r="AE679" s="11"/>
      <c r="AF679" s="11"/>
    </row>
    <row r="680" spans="3:32" ht="11.25" customHeight="1" x14ac:dyDescent="0.35">
      <c r="C680" s="8"/>
      <c r="R680" s="40"/>
      <c r="AB680" s="28"/>
      <c r="AC680" s="11"/>
      <c r="AD680" s="11"/>
      <c r="AE680" s="11"/>
      <c r="AF680" s="11"/>
    </row>
    <row r="681" spans="3:32" ht="11.25" customHeight="1" x14ac:dyDescent="0.35">
      <c r="C681" s="8"/>
      <c r="R681" s="40"/>
      <c r="AB681" s="28"/>
      <c r="AC681" s="11"/>
      <c r="AD681" s="11"/>
      <c r="AE681" s="11"/>
      <c r="AF681" s="11"/>
    </row>
    <row r="682" spans="3:32" ht="11.25" customHeight="1" x14ac:dyDescent="0.35">
      <c r="C682" s="8"/>
      <c r="R682" s="40"/>
      <c r="AB682" s="28"/>
      <c r="AC682" s="11"/>
      <c r="AD682" s="11"/>
      <c r="AE682" s="11"/>
      <c r="AF682" s="11"/>
    </row>
    <row r="683" spans="3:32" ht="11.25" customHeight="1" x14ac:dyDescent="0.35">
      <c r="C683" s="8"/>
      <c r="R683" s="40"/>
      <c r="AB683" s="28"/>
      <c r="AC683" s="11"/>
      <c r="AD683" s="11"/>
      <c r="AE683" s="11"/>
      <c r="AF683" s="11"/>
    </row>
    <row r="684" spans="3:32" ht="11.25" customHeight="1" x14ac:dyDescent="0.35">
      <c r="C684" s="8"/>
      <c r="R684" s="40"/>
      <c r="AB684" s="28"/>
      <c r="AC684" s="11"/>
      <c r="AD684" s="11"/>
      <c r="AE684" s="11"/>
      <c r="AF684" s="11"/>
    </row>
    <row r="685" spans="3:32" ht="11.25" customHeight="1" x14ac:dyDescent="0.35">
      <c r="C685" s="8"/>
      <c r="R685" s="40"/>
      <c r="AB685" s="28"/>
      <c r="AC685" s="11"/>
      <c r="AD685" s="11"/>
      <c r="AE685" s="11"/>
      <c r="AF685" s="11"/>
    </row>
    <row r="686" spans="3:32" ht="11.25" customHeight="1" x14ac:dyDescent="0.35">
      <c r="C686" s="8"/>
      <c r="R686" s="40"/>
      <c r="AB686" s="28"/>
      <c r="AC686" s="11"/>
      <c r="AD686" s="11"/>
      <c r="AE686" s="11"/>
      <c r="AF686" s="11"/>
    </row>
    <row r="687" spans="3:32" ht="11.25" customHeight="1" x14ac:dyDescent="0.35">
      <c r="C687" s="8"/>
      <c r="R687" s="40"/>
      <c r="AB687" s="28"/>
      <c r="AC687" s="11"/>
      <c r="AD687" s="11"/>
      <c r="AE687" s="11"/>
      <c r="AF687" s="11"/>
    </row>
    <row r="688" spans="3:32" ht="11.25" customHeight="1" x14ac:dyDescent="0.35">
      <c r="C688" s="8"/>
      <c r="R688" s="40"/>
      <c r="AB688" s="28"/>
      <c r="AC688" s="11"/>
      <c r="AD688" s="11"/>
      <c r="AE688" s="11"/>
      <c r="AF688" s="11"/>
    </row>
    <row r="689" spans="3:32" ht="11.25" customHeight="1" x14ac:dyDescent="0.35">
      <c r="C689" s="8"/>
      <c r="R689" s="40"/>
      <c r="AB689" s="28"/>
      <c r="AC689" s="11"/>
      <c r="AD689" s="11"/>
      <c r="AE689" s="11"/>
      <c r="AF689" s="11"/>
    </row>
    <row r="690" spans="3:32" ht="11.25" customHeight="1" x14ac:dyDescent="0.35">
      <c r="C690" s="8"/>
      <c r="R690" s="40"/>
      <c r="AB690" s="28"/>
      <c r="AC690" s="11"/>
      <c r="AD690" s="11"/>
      <c r="AE690" s="11"/>
      <c r="AF690" s="11"/>
    </row>
    <row r="691" spans="3:32" ht="11.25" customHeight="1" x14ac:dyDescent="0.35">
      <c r="C691" s="8"/>
      <c r="R691" s="40"/>
      <c r="AB691" s="28"/>
      <c r="AC691" s="11"/>
      <c r="AD691" s="11"/>
      <c r="AE691" s="11"/>
      <c r="AF691" s="11"/>
    </row>
    <row r="692" spans="3:32" ht="11.25" customHeight="1" x14ac:dyDescent="0.35">
      <c r="C692" s="8"/>
      <c r="R692" s="40"/>
      <c r="AB692" s="28"/>
      <c r="AC692" s="11"/>
      <c r="AD692" s="11"/>
      <c r="AE692" s="11"/>
      <c r="AF692" s="11"/>
    </row>
    <row r="693" spans="3:32" ht="11.25" customHeight="1" x14ac:dyDescent="0.35">
      <c r="C693" s="8"/>
      <c r="R693" s="40"/>
      <c r="AB693" s="28"/>
      <c r="AC693" s="11"/>
      <c r="AD693" s="11"/>
      <c r="AE693" s="11"/>
      <c r="AF693" s="11"/>
    </row>
    <row r="694" spans="3:32" ht="11.25" customHeight="1" x14ac:dyDescent="0.35">
      <c r="C694" s="8"/>
      <c r="R694" s="40"/>
      <c r="AB694" s="28"/>
      <c r="AC694" s="11"/>
      <c r="AD694" s="11"/>
      <c r="AE694" s="11"/>
      <c r="AF694" s="11"/>
    </row>
    <row r="695" spans="3:32" ht="11.25" customHeight="1" x14ac:dyDescent="0.35">
      <c r="C695" s="8"/>
      <c r="R695" s="40"/>
      <c r="AB695" s="28"/>
      <c r="AC695" s="11"/>
      <c r="AD695" s="11"/>
      <c r="AE695" s="11"/>
      <c r="AF695" s="11"/>
    </row>
    <row r="696" spans="3:32" ht="11.25" customHeight="1" x14ac:dyDescent="0.35">
      <c r="C696" s="8"/>
      <c r="R696" s="40"/>
      <c r="AB696" s="28"/>
      <c r="AC696" s="11"/>
      <c r="AD696" s="11"/>
      <c r="AE696" s="11"/>
      <c r="AF696" s="11"/>
    </row>
    <row r="697" spans="3:32" ht="11.25" customHeight="1" x14ac:dyDescent="0.35">
      <c r="C697" s="8"/>
      <c r="R697" s="40"/>
      <c r="AB697" s="28"/>
      <c r="AC697" s="11"/>
      <c r="AD697" s="11"/>
      <c r="AE697" s="11"/>
      <c r="AF697" s="11"/>
    </row>
    <row r="698" spans="3:32" ht="11.25" customHeight="1" x14ac:dyDescent="0.35">
      <c r="C698" s="8"/>
      <c r="R698" s="40"/>
      <c r="AB698" s="28"/>
      <c r="AC698" s="11"/>
      <c r="AD698" s="11"/>
      <c r="AE698" s="11"/>
      <c r="AF698" s="11"/>
    </row>
    <row r="699" spans="3:32" ht="11.25" customHeight="1" x14ac:dyDescent="0.35">
      <c r="C699" s="8"/>
      <c r="R699" s="40"/>
      <c r="AB699" s="28"/>
      <c r="AC699" s="11"/>
      <c r="AD699" s="11"/>
      <c r="AE699" s="11"/>
      <c r="AF699" s="11"/>
    </row>
    <row r="700" spans="3:32" ht="11.25" customHeight="1" x14ac:dyDescent="0.35">
      <c r="C700" s="8"/>
      <c r="R700" s="40"/>
      <c r="AB700" s="28"/>
      <c r="AC700" s="11"/>
      <c r="AD700" s="11"/>
      <c r="AE700" s="11"/>
      <c r="AF700" s="11"/>
    </row>
    <row r="701" spans="3:32" ht="11.25" customHeight="1" x14ac:dyDescent="0.35">
      <c r="C701" s="8"/>
      <c r="R701" s="40"/>
      <c r="AB701" s="28"/>
      <c r="AC701" s="11"/>
      <c r="AD701" s="11"/>
      <c r="AE701" s="11"/>
      <c r="AF701" s="11"/>
    </row>
    <row r="702" spans="3:32" ht="11.25" customHeight="1" x14ac:dyDescent="0.35">
      <c r="C702" s="8"/>
      <c r="R702" s="40"/>
      <c r="AB702" s="28"/>
      <c r="AC702" s="11"/>
      <c r="AD702" s="11"/>
      <c r="AE702" s="11"/>
      <c r="AF702" s="11"/>
    </row>
    <row r="703" spans="3:32" ht="11.25" customHeight="1" x14ac:dyDescent="0.35">
      <c r="C703" s="8"/>
      <c r="R703" s="40"/>
      <c r="AB703" s="28"/>
      <c r="AC703" s="11"/>
      <c r="AD703" s="11"/>
      <c r="AE703" s="11"/>
      <c r="AF703" s="11"/>
    </row>
    <row r="704" spans="3:32" ht="11.25" customHeight="1" x14ac:dyDescent="0.35">
      <c r="C704" s="8"/>
      <c r="R704" s="40"/>
      <c r="AB704" s="28"/>
      <c r="AC704" s="11"/>
      <c r="AD704" s="11"/>
      <c r="AE704" s="11"/>
      <c r="AF704" s="11"/>
    </row>
    <row r="705" spans="3:32" ht="11.25" customHeight="1" x14ac:dyDescent="0.35">
      <c r="C705" s="8"/>
      <c r="R705" s="40"/>
      <c r="AB705" s="28"/>
      <c r="AC705" s="11"/>
      <c r="AD705" s="11"/>
      <c r="AE705" s="11"/>
      <c r="AF705" s="11"/>
    </row>
    <row r="706" spans="3:32" ht="11.25" customHeight="1" x14ac:dyDescent="0.35">
      <c r="C706" s="8"/>
      <c r="R706" s="40"/>
      <c r="AB706" s="28"/>
      <c r="AC706" s="11"/>
      <c r="AD706" s="11"/>
      <c r="AE706" s="11"/>
      <c r="AF706" s="11"/>
    </row>
    <row r="707" spans="3:32" ht="11.25" customHeight="1" x14ac:dyDescent="0.35">
      <c r="C707" s="8"/>
      <c r="R707" s="40"/>
      <c r="AB707" s="28"/>
      <c r="AC707" s="11"/>
      <c r="AD707" s="11"/>
      <c r="AE707" s="11"/>
      <c r="AF707" s="11"/>
    </row>
    <row r="708" spans="3:32" ht="11.25" customHeight="1" x14ac:dyDescent="0.35">
      <c r="C708" s="8"/>
      <c r="R708" s="40"/>
      <c r="AB708" s="28"/>
      <c r="AC708" s="11"/>
      <c r="AD708" s="11"/>
      <c r="AE708" s="11"/>
      <c r="AF708" s="11"/>
    </row>
    <row r="709" spans="3:32" ht="11.25" customHeight="1" x14ac:dyDescent="0.35">
      <c r="C709" s="8"/>
      <c r="R709" s="40"/>
      <c r="AB709" s="28"/>
      <c r="AC709" s="11"/>
      <c r="AD709" s="11"/>
      <c r="AE709" s="11"/>
      <c r="AF709" s="11"/>
    </row>
    <row r="710" spans="3:32" ht="11.25" customHeight="1" x14ac:dyDescent="0.35">
      <c r="C710" s="8"/>
      <c r="R710" s="40"/>
      <c r="AB710" s="28"/>
      <c r="AC710" s="11"/>
      <c r="AD710" s="11"/>
      <c r="AE710" s="11"/>
      <c r="AF710" s="11"/>
    </row>
    <row r="711" spans="3:32" ht="11.25" customHeight="1" x14ac:dyDescent="0.35">
      <c r="C711" s="8"/>
      <c r="R711" s="40"/>
      <c r="AB711" s="28"/>
      <c r="AC711" s="11"/>
      <c r="AD711" s="11"/>
      <c r="AE711" s="11"/>
      <c r="AF711" s="11"/>
    </row>
    <row r="712" spans="3:32" ht="11.25" customHeight="1" x14ac:dyDescent="0.35">
      <c r="C712" s="8"/>
      <c r="R712" s="40"/>
      <c r="AB712" s="28"/>
      <c r="AC712" s="11"/>
      <c r="AD712" s="11"/>
      <c r="AE712" s="11"/>
      <c r="AF712" s="11"/>
    </row>
    <row r="713" spans="3:32" ht="11.25" customHeight="1" x14ac:dyDescent="0.35">
      <c r="C713" s="8"/>
      <c r="R713" s="40"/>
      <c r="AB713" s="28"/>
      <c r="AC713" s="11"/>
      <c r="AD713" s="11"/>
      <c r="AE713" s="11"/>
      <c r="AF713" s="11"/>
    </row>
    <row r="714" spans="3:32" ht="11.25" customHeight="1" x14ac:dyDescent="0.35">
      <c r="C714" s="8"/>
      <c r="R714" s="40"/>
      <c r="AB714" s="28"/>
      <c r="AC714" s="11"/>
      <c r="AD714" s="11"/>
      <c r="AE714" s="11"/>
      <c r="AF714" s="11"/>
    </row>
    <row r="715" spans="3:32" ht="11.25" customHeight="1" x14ac:dyDescent="0.35">
      <c r="C715" s="8"/>
      <c r="R715" s="40"/>
      <c r="AB715" s="28"/>
      <c r="AC715" s="11"/>
      <c r="AD715" s="11"/>
      <c r="AE715" s="11"/>
      <c r="AF715" s="11"/>
    </row>
    <row r="716" spans="3:32" ht="11.25" customHeight="1" x14ac:dyDescent="0.35">
      <c r="C716" s="8"/>
      <c r="R716" s="40"/>
      <c r="AB716" s="28"/>
      <c r="AC716" s="11"/>
      <c r="AD716" s="11"/>
      <c r="AE716" s="11"/>
      <c r="AF716" s="11"/>
    </row>
    <row r="717" spans="3:32" ht="11.25" customHeight="1" x14ac:dyDescent="0.35">
      <c r="C717" s="8"/>
      <c r="R717" s="40"/>
      <c r="AB717" s="28"/>
    </row>
    <row r="718" spans="3:32" ht="11.25" customHeight="1" x14ac:dyDescent="0.35">
      <c r="C718" s="8"/>
      <c r="R718" s="40"/>
      <c r="AB718" s="28"/>
    </row>
    <row r="719" spans="3:32" ht="11.25" customHeight="1" x14ac:dyDescent="0.35">
      <c r="C719" s="8"/>
      <c r="R719" s="40"/>
      <c r="AB719" s="28"/>
    </row>
    <row r="720" spans="3:32" ht="11.25" customHeight="1" x14ac:dyDescent="0.35">
      <c r="C720" s="8"/>
      <c r="R720" s="40"/>
      <c r="AB720" s="28"/>
    </row>
    <row r="721" spans="3:28" ht="11.25" customHeight="1" x14ac:dyDescent="0.35">
      <c r="C721" s="8"/>
      <c r="R721" s="40"/>
      <c r="AB721" s="28"/>
    </row>
    <row r="722" spans="3:28" ht="11.25" customHeight="1" x14ac:dyDescent="0.35">
      <c r="C722" s="8"/>
      <c r="R722" s="40"/>
      <c r="AB722" s="28"/>
    </row>
    <row r="723" spans="3:28" ht="11.25" customHeight="1" x14ac:dyDescent="0.35">
      <c r="C723" s="8"/>
      <c r="R723" s="40"/>
      <c r="AB723" s="28"/>
    </row>
    <row r="724" spans="3:28" ht="11.25" customHeight="1" x14ac:dyDescent="0.35">
      <c r="C724" s="8"/>
      <c r="R724" s="40"/>
      <c r="AB724" s="28"/>
    </row>
    <row r="725" spans="3:28" ht="11.25" customHeight="1" x14ac:dyDescent="0.35">
      <c r="C725" s="8"/>
      <c r="R725" s="40"/>
      <c r="AB725" s="28"/>
    </row>
    <row r="726" spans="3:28" ht="11.25" customHeight="1" x14ac:dyDescent="0.35">
      <c r="C726" s="8"/>
      <c r="R726" s="40"/>
      <c r="AB726" s="28"/>
    </row>
    <row r="727" spans="3:28" ht="11.25" customHeight="1" x14ac:dyDescent="0.35">
      <c r="C727" s="8"/>
      <c r="R727" s="40"/>
      <c r="AB727" s="28"/>
    </row>
    <row r="728" spans="3:28" ht="11.25" customHeight="1" x14ac:dyDescent="0.35">
      <c r="C728" s="8"/>
      <c r="R728" s="40"/>
      <c r="AB728" s="28"/>
    </row>
    <row r="729" spans="3:28" ht="11.25" customHeight="1" x14ac:dyDescent="0.35">
      <c r="C729" s="8"/>
      <c r="R729" s="40"/>
      <c r="AB729" s="28"/>
    </row>
    <row r="730" spans="3:28" ht="11.25" customHeight="1" x14ac:dyDescent="0.35">
      <c r="C730" s="8"/>
      <c r="R730" s="40"/>
      <c r="AB730" s="28"/>
    </row>
    <row r="731" spans="3:28" ht="11.25" customHeight="1" x14ac:dyDescent="0.35">
      <c r="C731" s="8"/>
      <c r="R731" s="40"/>
      <c r="AB731" s="28"/>
    </row>
    <row r="732" spans="3:28" ht="11.25" customHeight="1" x14ac:dyDescent="0.35">
      <c r="C732" s="8"/>
      <c r="R732" s="40"/>
      <c r="AB732" s="28"/>
    </row>
    <row r="733" spans="3:28" ht="11.25" customHeight="1" x14ac:dyDescent="0.35">
      <c r="C733" s="8"/>
      <c r="R733" s="40"/>
      <c r="AB733" s="28"/>
    </row>
    <row r="734" spans="3:28" ht="11.25" customHeight="1" x14ac:dyDescent="0.35">
      <c r="C734" s="8"/>
      <c r="R734" s="40"/>
      <c r="AB734" s="28"/>
    </row>
    <row r="735" spans="3:28" ht="11.25" customHeight="1" x14ac:dyDescent="0.35">
      <c r="C735" s="8"/>
      <c r="R735" s="40"/>
      <c r="AB735" s="28"/>
    </row>
    <row r="736" spans="3:28" ht="11.25" customHeight="1" x14ac:dyDescent="0.35">
      <c r="C736" s="8"/>
      <c r="R736" s="40"/>
      <c r="AB736" s="28"/>
    </row>
    <row r="737" spans="3:28" ht="11.25" customHeight="1" x14ac:dyDescent="0.35">
      <c r="C737" s="8"/>
      <c r="R737" s="40"/>
      <c r="AB737" s="28"/>
    </row>
    <row r="738" spans="3:28" ht="11.25" customHeight="1" x14ac:dyDescent="0.35">
      <c r="C738" s="8"/>
      <c r="R738" s="40"/>
      <c r="AB738" s="28"/>
    </row>
    <row r="739" spans="3:28" ht="11.25" customHeight="1" x14ac:dyDescent="0.35">
      <c r="C739" s="8"/>
      <c r="R739" s="40"/>
      <c r="AB739" s="28"/>
    </row>
    <row r="740" spans="3:28" ht="11.25" customHeight="1" x14ac:dyDescent="0.35">
      <c r="C740" s="8"/>
      <c r="R740" s="40"/>
      <c r="AB740" s="28"/>
    </row>
    <row r="741" spans="3:28" ht="11.25" customHeight="1" x14ac:dyDescent="0.35">
      <c r="C741" s="8"/>
      <c r="R741" s="40"/>
      <c r="AB741" s="28"/>
    </row>
    <row r="742" spans="3:28" ht="11.25" customHeight="1" x14ac:dyDescent="0.35">
      <c r="C742" s="8"/>
      <c r="R742" s="40"/>
      <c r="AB742" s="28"/>
    </row>
    <row r="743" spans="3:28" ht="11.25" customHeight="1" x14ac:dyDescent="0.35">
      <c r="C743" s="8"/>
      <c r="R743" s="40"/>
      <c r="AB743" s="28"/>
    </row>
    <row r="744" spans="3:28" ht="11.25" customHeight="1" x14ac:dyDescent="0.35">
      <c r="C744" s="8"/>
      <c r="R744" s="40"/>
      <c r="AB744" s="28"/>
    </row>
    <row r="745" spans="3:28" ht="11.25" customHeight="1" x14ac:dyDescent="0.35">
      <c r="C745" s="8"/>
      <c r="R745" s="40"/>
      <c r="AB745" s="28"/>
    </row>
    <row r="746" spans="3:28" ht="11.25" customHeight="1" x14ac:dyDescent="0.35">
      <c r="C746" s="8"/>
      <c r="R746" s="40"/>
      <c r="AB746" s="28"/>
    </row>
    <row r="747" spans="3:28" ht="11.25" customHeight="1" x14ac:dyDescent="0.35">
      <c r="C747" s="8"/>
      <c r="R747" s="40"/>
      <c r="AB747" s="28"/>
    </row>
    <row r="748" spans="3:28" ht="11.25" customHeight="1" x14ac:dyDescent="0.35">
      <c r="C748" s="8"/>
      <c r="R748" s="40"/>
      <c r="AB748" s="28"/>
    </row>
    <row r="749" spans="3:28" ht="11.25" customHeight="1" x14ac:dyDescent="0.35">
      <c r="C749" s="8"/>
      <c r="R749" s="40"/>
      <c r="AB749" s="28"/>
    </row>
    <row r="750" spans="3:28" ht="11.25" customHeight="1" x14ac:dyDescent="0.35">
      <c r="C750" s="8"/>
      <c r="R750" s="40"/>
      <c r="AB750" s="28"/>
    </row>
    <row r="751" spans="3:28" ht="11.25" customHeight="1" x14ac:dyDescent="0.35">
      <c r="C751" s="8"/>
      <c r="R751" s="40"/>
      <c r="AB751" s="28"/>
    </row>
    <row r="752" spans="3:28" ht="11.25" customHeight="1" x14ac:dyDescent="0.35">
      <c r="C752" s="8"/>
      <c r="R752" s="40"/>
      <c r="AB752" s="28"/>
    </row>
    <row r="753" spans="3:28" ht="11.25" customHeight="1" x14ac:dyDescent="0.35">
      <c r="C753" s="8"/>
      <c r="R753" s="40"/>
      <c r="AB753" s="28"/>
    </row>
    <row r="754" spans="3:28" ht="11.25" customHeight="1" x14ac:dyDescent="0.35">
      <c r="C754" s="8"/>
      <c r="R754" s="40"/>
      <c r="AB754" s="28"/>
    </row>
    <row r="755" spans="3:28" ht="11.25" customHeight="1" x14ac:dyDescent="0.35">
      <c r="C755" s="8"/>
      <c r="R755" s="40"/>
      <c r="AB755" s="28"/>
    </row>
    <row r="756" spans="3:28" ht="11.25" customHeight="1" x14ac:dyDescent="0.35">
      <c r="C756" s="8"/>
      <c r="R756" s="40"/>
      <c r="AB756" s="28"/>
    </row>
    <row r="757" spans="3:28" ht="11.25" customHeight="1" x14ac:dyDescent="0.35">
      <c r="C757" s="8"/>
      <c r="R757" s="40"/>
      <c r="AB757" s="28"/>
    </row>
    <row r="758" spans="3:28" ht="11.25" customHeight="1" x14ac:dyDescent="0.35">
      <c r="C758" s="8"/>
      <c r="R758" s="40"/>
      <c r="AB758" s="28"/>
    </row>
    <row r="759" spans="3:28" ht="11.25" customHeight="1" x14ac:dyDescent="0.35">
      <c r="C759" s="8"/>
      <c r="R759" s="40"/>
      <c r="AB759" s="28"/>
    </row>
    <row r="760" spans="3:28" ht="11.25" customHeight="1" x14ac:dyDescent="0.35">
      <c r="C760" s="8"/>
      <c r="R760" s="40"/>
      <c r="AB760" s="28"/>
    </row>
    <row r="761" spans="3:28" ht="11.25" customHeight="1" x14ac:dyDescent="0.35">
      <c r="C761" s="8"/>
      <c r="R761" s="40"/>
      <c r="AB761" s="28"/>
    </row>
    <row r="762" spans="3:28" ht="11.25" customHeight="1" x14ac:dyDescent="0.35">
      <c r="C762" s="8"/>
      <c r="R762" s="40"/>
      <c r="AB762" s="28"/>
    </row>
    <row r="763" spans="3:28" ht="11.25" customHeight="1" x14ac:dyDescent="0.35">
      <c r="C763" s="8"/>
      <c r="R763" s="40"/>
      <c r="AB763" s="28"/>
    </row>
    <row r="764" spans="3:28" ht="11.25" customHeight="1" x14ac:dyDescent="0.35">
      <c r="C764" s="8"/>
      <c r="R764" s="40"/>
      <c r="AB764" s="28"/>
    </row>
    <row r="765" spans="3:28" ht="11.25" customHeight="1" x14ac:dyDescent="0.35">
      <c r="C765" s="8"/>
      <c r="R765" s="40"/>
      <c r="AB765" s="28"/>
    </row>
    <row r="766" spans="3:28" ht="11.25" customHeight="1" x14ac:dyDescent="0.35">
      <c r="C766" s="8"/>
      <c r="R766" s="40"/>
      <c r="AB766" s="28"/>
    </row>
    <row r="767" spans="3:28" ht="11.25" customHeight="1" x14ac:dyDescent="0.35">
      <c r="C767" s="8"/>
      <c r="R767" s="40"/>
      <c r="AB767" s="28"/>
    </row>
    <row r="768" spans="3:28" ht="11.25" customHeight="1" x14ac:dyDescent="0.35">
      <c r="C768" s="8"/>
      <c r="R768" s="40"/>
      <c r="AB768" s="28"/>
    </row>
    <row r="769" spans="3:28" ht="11.25" customHeight="1" x14ac:dyDescent="0.35">
      <c r="C769" s="8"/>
      <c r="R769" s="40"/>
      <c r="AB769" s="28"/>
    </row>
    <row r="770" spans="3:28" ht="11.25" customHeight="1" x14ac:dyDescent="0.35">
      <c r="C770" s="8"/>
      <c r="R770" s="40"/>
      <c r="AB770" s="28"/>
    </row>
    <row r="771" spans="3:28" ht="11.25" customHeight="1" x14ac:dyDescent="0.35">
      <c r="C771" s="8"/>
      <c r="R771" s="40"/>
      <c r="AB771" s="28"/>
    </row>
    <row r="772" spans="3:28" ht="11.25" customHeight="1" x14ac:dyDescent="0.35">
      <c r="C772" s="8"/>
      <c r="R772" s="40"/>
      <c r="AB772" s="28"/>
    </row>
    <row r="773" spans="3:28" ht="11.25" customHeight="1" x14ac:dyDescent="0.35">
      <c r="C773" s="8"/>
      <c r="R773" s="40"/>
      <c r="AB773" s="28"/>
    </row>
    <row r="774" spans="3:28" ht="11.25" customHeight="1" x14ac:dyDescent="0.35">
      <c r="C774" s="8"/>
      <c r="R774" s="40"/>
      <c r="AB774" s="28"/>
    </row>
    <row r="775" spans="3:28" ht="11.25" customHeight="1" x14ac:dyDescent="0.35">
      <c r="C775" s="8"/>
      <c r="R775" s="40"/>
      <c r="AB775" s="28"/>
    </row>
    <row r="776" spans="3:28" ht="11.25" customHeight="1" x14ac:dyDescent="0.35">
      <c r="C776" s="8"/>
      <c r="R776" s="40"/>
      <c r="AB776" s="28"/>
    </row>
    <row r="777" spans="3:28" ht="11.25" customHeight="1" x14ac:dyDescent="0.35">
      <c r="C777" s="8"/>
      <c r="R777" s="40"/>
      <c r="AB777" s="28"/>
    </row>
    <row r="778" spans="3:28" ht="11.25" customHeight="1" x14ac:dyDescent="0.35">
      <c r="C778" s="8"/>
      <c r="R778" s="40"/>
      <c r="AB778" s="28"/>
    </row>
    <row r="779" spans="3:28" ht="11.25" customHeight="1" x14ac:dyDescent="0.35">
      <c r="C779" s="8"/>
      <c r="R779" s="40"/>
      <c r="AB779" s="28"/>
    </row>
    <row r="780" spans="3:28" ht="11.25" customHeight="1" x14ac:dyDescent="0.35">
      <c r="C780" s="8"/>
      <c r="R780" s="40"/>
      <c r="AB780" s="28"/>
    </row>
    <row r="781" spans="3:28" ht="11.25" customHeight="1" x14ac:dyDescent="0.35">
      <c r="C781" s="8"/>
      <c r="R781" s="40"/>
      <c r="AB781" s="28"/>
    </row>
    <row r="782" spans="3:28" ht="11.25" customHeight="1" x14ac:dyDescent="0.35">
      <c r="C782" s="8"/>
      <c r="R782" s="40"/>
      <c r="AB782" s="28"/>
    </row>
    <row r="783" spans="3:28" ht="11.25" customHeight="1" x14ac:dyDescent="0.35">
      <c r="C783" s="8"/>
      <c r="R783" s="40"/>
      <c r="AB783" s="28"/>
    </row>
    <row r="784" spans="3:28" ht="11.25" customHeight="1" x14ac:dyDescent="0.35">
      <c r="C784" s="8"/>
      <c r="R784" s="40"/>
      <c r="AB784" s="28"/>
    </row>
    <row r="785" spans="3:28" ht="11.25" customHeight="1" x14ac:dyDescent="0.35">
      <c r="C785" s="8"/>
      <c r="R785" s="40"/>
      <c r="AB785" s="28"/>
    </row>
    <row r="786" spans="3:28" ht="11.25" customHeight="1" x14ac:dyDescent="0.35">
      <c r="C786" s="8"/>
      <c r="R786" s="40"/>
      <c r="AB786" s="28"/>
    </row>
    <row r="787" spans="3:28" ht="11.25" customHeight="1" x14ac:dyDescent="0.35">
      <c r="C787" s="8"/>
      <c r="R787" s="40"/>
      <c r="AB787" s="28"/>
    </row>
    <row r="788" spans="3:28" ht="11.25" customHeight="1" x14ac:dyDescent="0.35">
      <c r="C788" s="8"/>
      <c r="R788" s="40"/>
      <c r="AB788" s="28"/>
    </row>
    <row r="789" spans="3:28" ht="11.25" customHeight="1" x14ac:dyDescent="0.35">
      <c r="C789" s="8"/>
      <c r="R789" s="40"/>
      <c r="AB789" s="28"/>
    </row>
    <row r="790" spans="3:28" ht="11.25" customHeight="1" x14ac:dyDescent="0.35">
      <c r="C790" s="8"/>
      <c r="R790" s="40"/>
      <c r="AB790" s="28"/>
    </row>
    <row r="791" spans="3:28" ht="11.25" customHeight="1" x14ac:dyDescent="0.35">
      <c r="C791" s="8"/>
      <c r="R791" s="40"/>
      <c r="AB791" s="28"/>
    </row>
    <row r="792" spans="3:28" ht="11.25" customHeight="1" x14ac:dyDescent="0.35">
      <c r="C792" s="8"/>
      <c r="R792" s="40"/>
      <c r="AB792" s="28"/>
    </row>
    <row r="793" spans="3:28" ht="11.25" customHeight="1" x14ac:dyDescent="0.35">
      <c r="C793" s="8"/>
      <c r="R793" s="40"/>
      <c r="AB793" s="28"/>
    </row>
    <row r="794" spans="3:28" ht="11.25" customHeight="1" x14ac:dyDescent="0.35">
      <c r="C794" s="8"/>
      <c r="R794" s="40"/>
      <c r="AB794" s="28"/>
    </row>
    <row r="795" spans="3:28" ht="11.25" customHeight="1" x14ac:dyDescent="0.35">
      <c r="C795" s="8"/>
      <c r="R795" s="40"/>
      <c r="AB795" s="28"/>
    </row>
    <row r="796" spans="3:28" ht="11.25" customHeight="1" x14ac:dyDescent="0.35">
      <c r="C796" s="8"/>
      <c r="R796" s="40"/>
      <c r="AB796" s="28"/>
    </row>
    <row r="797" spans="3:28" ht="11.25" customHeight="1" x14ac:dyDescent="0.35">
      <c r="C797" s="8"/>
      <c r="R797" s="40"/>
      <c r="AB797" s="28"/>
    </row>
    <row r="798" spans="3:28" ht="11.25" customHeight="1" x14ac:dyDescent="0.35">
      <c r="C798" s="8"/>
      <c r="R798" s="40"/>
      <c r="AB798" s="28"/>
    </row>
    <row r="799" spans="3:28" ht="11.25" customHeight="1" x14ac:dyDescent="0.35">
      <c r="C799" s="8"/>
      <c r="R799" s="40"/>
      <c r="AB799" s="28"/>
    </row>
    <row r="800" spans="3:28" ht="11.25" customHeight="1" x14ac:dyDescent="0.35">
      <c r="C800" s="8"/>
      <c r="R800" s="40"/>
      <c r="AB800" s="28"/>
    </row>
    <row r="801" spans="3:28" ht="11.25" customHeight="1" x14ac:dyDescent="0.35">
      <c r="C801" s="8"/>
      <c r="R801" s="40"/>
      <c r="AB801" s="28"/>
    </row>
    <row r="802" spans="3:28" ht="11.25" customHeight="1" x14ac:dyDescent="0.35">
      <c r="C802" s="8"/>
      <c r="R802" s="40"/>
      <c r="AB802" s="28"/>
    </row>
    <row r="803" spans="3:28" ht="11.25" customHeight="1" x14ac:dyDescent="0.35">
      <c r="C803" s="8"/>
      <c r="R803" s="40"/>
      <c r="AB803" s="28"/>
    </row>
    <row r="804" spans="3:28" ht="11.25" customHeight="1" x14ac:dyDescent="0.35">
      <c r="C804" s="8"/>
      <c r="R804" s="40"/>
      <c r="AB804" s="28"/>
    </row>
    <row r="805" spans="3:28" ht="11.25" customHeight="1" x14ac:dyDescent="0.35">
      <c r="C805" s="8"/>
      <c r="R805" s="40"/>
      <c r="AB805" s="28"/>
    </row>
    <row r="806" spans="3:28" ht="11.25" customHeight="1" x14ac:dyDescent="0.35">
      <c r="C806" s="8"/>
      <c r="R806" s="40"/>
      <c r="AB806" s="28"/>
    </row>
    <row r="807" spans="3:28" ht="11.25" customHeight="1" x14ac:dyDescent="0.35">
      <c r="C807" s="8"/>
      <c r="R807" s="40"/>
      <c r="AB807" s="28"/>
    </row>
    <row r="808" spans="3:28" ht="11.25" customHeight="1" x14ac:dyDescent="0.35">
      <c r="C808" s="8"/>
      <c r="R808" s="40"/>
      <c r="AB808" s="28"/>
    </row>
    <row r="809" spans="3:28" ht="11.25" customHeight="1" x14ac:dyDescent="0.35">
      <c r="C809" s="8"/>
      <c r="R809" s="40"/>
      <c r="AB809" s="28"/>
    </row>
    <row r="810" spans="3:28" ht="11.25" customHeight="1" x14ac:dyDescent="0.35">
      <c r="C810" s="8"/>
      <c r="R810" s="40"/>
      <c r="AB810" s="28"/>
    </row>
    <row r="811" spans="3:28" ht="11.25" customHeight="1" x14ac:dyDescent="0.35">
      <c r="C811" s="8"/>
      <c r="R811" s="40"/>
      <c r="AB811" s="28"/>
    </row>
    <row r="812" spans="3:28" ht="11.25" customHeight="1" x14ac:dyDescent="0.35">
      <c r="C812" s="8"/>
      <c r="R812" s="40"/>
      <c r="AB812" s="28"/>
    </row>
    <row r="813" spans="3:28" ht="11.25" customHeight="1" x14ac:dyDescent="0.35">
      <c r="C813" s="8"/>
      <c r="R813" s="40"/>
      <c r="AB813" s="28"/>
    </row>
    <row r="814" spans="3:28" ht="11.25" customHeight="1" x14ac:dyDescent="0.35">
      <c r="C814" s="8"/>
      <c r="R814" s="40"/>
      <c r="AB814" s="28"/>
    </row>
    <row r="815" spans="3:28" ht="11.25" customHeight="1" x14ac:dyDescent="0.35">
      <c r="C815" s="8"/>
      <c r="R815" s="40"/>
      <c r="AB815" s="28"/>
    </row>
    <row r="816" spans="3:28" ht="11.25" customHeight="1" x14ac:dyDescent="0.35">
      <c r="C816" s="8"/>
      <c r="R816" s="40"/>
      <c r="AB816" s="28"/>
    </row>
    <row r="817" spans="3:28" ht="11.25" customHeight="1" x14ac:dyDescent="0.35">
      <c r="C817" s="8"/>
      <c r="R817" s="40"/>
      <c r="AB817" s="28"/>
    </row>
    <row r="818" spans="3:28" ht="11.25" customHeight="1" x14ac:dyDescent="0.35">
      <c r="C818" s="8"/>
      <c r="R818" s="40"/>
      <c r="AB818" s="28"/>
    </row>
    <row r="819" spans="3:28" ht="11.25" customHeight="1" x14ac:dyDescent="0.35">
      <c r="C819" s="8"/>
      <c r="R819" s="40"/>
      <c r="AB819" s="28"/>
    </row>
    <row r="820" spans="3:28" ht="11.25" customHeight="1" x14ac:dyDescent="0.35">
      <c r="C820" s="8"/>
      <c r="R820" s="40"/>
      <c r="AB820" s="28"/>
    </row>
    <row r="821" spans="3:28" ht="11.25" customHeight="1" x14ac:dyDescent="0.35">
      <c r="C821" s="8"/>
      <c r="R821" s="40"/>
      <c r="AB821" s="28"/>
    </row>
    <row r="822" spans="3:28" ht="11.25" customHeight="1" x14ac:dyDescent="0.35">
      <c r="C822" s="8"/>
      <c r="R822" s="40"/>
      <c r="AB822" s="28"/>
    </row>
    <row r="823" spans="3:28" ht="11.25" customHeight="1" x14ac:dyDescent="0.35">
      <c r="C823" s="8"/>
      <c r="R823" s="40"/>
      <c r="AB823" s="28"/>
    </row>
    <row r="824" spans="3:28" ht="11.25" customHeight="1" x14ac:dyDescent="0.35">
      <c r="C824" s="8"/>
      <c r="R824" s="40"/>
      <c r="AB824" s="28"/>
    </row>
    <row r="825" spans="3:28" ht="11.25" customHeight="1" x14ac:dyDescent="0.35">
      <c r="C825" s="8"/>
      <c r="R825" s="40"/>
      <c r="AB825" s="28"/>
    </row>
    <row r="826" spans="3:28" ht="11.25" customHeight="1" x14ac:dyDescent="0.35">
      <c r="C826" s="8"/>
      <c r="R826" s="40"/>
      <c r="AB826" s="28"/>
    </row>
    <row r="827" spans="3:28" ht="11.25" customHeight="1" x14ac:dyDescent="0.35">
      <c r="C827" s="8"/>
      <c r="R827" s="40"/>
      <c r="AB827" s="28"/>
    </row>
    <row r="828" spans="3:28" ht="11.25" customHeight="1" x14ac:dyDescent="0.35">
      <c r="C828" s="8"/>
      <c r="R828" s="40"/>
      <c r="AB828" s="28"/>
    </row>
    <row r="829" spans="3:28" ht="11.25" customHeight="1" x14ac:dyDescent="0.35">
      <c r="C829" s="8"/>
      <c r="R829" s="40"/>
      <c r="AB829" s="28"/>
    </row>
    <row r="830" spans="3:28" ht="11.25" customHeight="1" x14ac:dyDescent="0.35">
      <c r="C830" s="8"/>
      <c r="R830" s="40"/>
      <c r="AB830" s="28"/>
    </row>
    <row r="831" spans="3:28" ht="11.25" customHeight="1" x14ac:dyDescent="0.35">
      <c r="C831" s="8"/>
      <c r="R831" s="40"/>
      <c r="AB831" s="28"/>
    </row>
    <row r="832" spans="3:28" ht="11.25" customHeight="1" x14ac:dyDescent="0.35">
      <c r="C832" s="8"/>
      <c r="R832" s="40"/>
      <c r="AB832" s="28"/>
    </row>
    <row r="833" spans="3:28" ht="11.25" customHeight="1" x14ac:dyDescent="0.35">
      <c r="C833" s="8"/>
      <c r="R833" s="40"/>
      <c r="AB833" s="28"/>
    </row>
    <row r="834" spans="3:28" ht="11.25" customHeight="1" x14ac:dyDescent="0.35">
      <c r="C834" s="8"/>
      <c r="R834" s="40"/>
      <c r="AB834" s="28"/>
    </row>
    <row r="835" spans="3:28" ht="11.25" customHeight="1" x14ac:dyDescent="0.35">
      <c r="C835" s="8"/>
      <c r="R835" s="40"/>
      <c r="AB835" s="28"/>
    </row>
    <row r="836" spans="3:28" ht="11.25" customHeight="1" x14ac:dyDescent="0.35">
      <c r="C836" s="8"/>
      <c r="R836" s="40"/>
      <c r="AB836" s="28"/>
    </row>
    <row r="837" spans="3:28" ht="11.25" customHeight="1" x14ac:dyDescent="0.35">
      <c r="C837" s="8"/>
      <c r="R837" s="40"/>
      <c r="AB837" s="28"/>
    </row>
    <row r="838" spans="3:28" ht="11.25" customHeight="1" x14ac:dyDescent="0.35">
      <c r="C838" s="8"/>
      <c r="R838" s="40"/>
      <c r="AB838" s="28"/>
    </row>
    <row r="839" spans="3:28" ht="11.25" customHeight="1" x14ac:dyDescent="0.35">
      <c r="C839" s="8"/>
      <c r="R839" s="40"/>
      <c r="AB839" s="28"/>
    </row>
    <row r="840" spans="3:28" ht="11.25" customHeight="1" x14ac:dyDescent="0.35">
      <c r="C840" s="8"/>
      <c r="R840" s="40"/>
      <c r="AB840" s="28"/>
    </row>
    <row r="841" spans="3:28" ht="11.25" customHeight="1" x14ac:dyDescent="0.35">
      <c r="C841" s="8"/>
      <c r="R841" s="40"/>
      <c r="AB841" s="28"/>
    </row>
    <row r="842" spans="3:28" ht="11.25" customHeight="1" x14ac:dyDescent="0.35">
      <c r="C842" s="8"/>
      <c r="R842" s="40"/>
      <c r="AB842" s="28"/>
    </row>
    <row r="843" spans="3:28" ht="11.25" customHeight="1" x14ac:dyDescent="0.35">
      <c r="C843" s="8"/>
      <c r="R843" s="40"/>
      <c r="AB843" s="28"/>
    </row>
    <row r="844" spans="3:28" ht="11.25" customHeight="1" x14ac:dyDescent="0.35">
      <c r="C844" s="8"/>
      <c r="R844" s="40"/>
      <c r="AB844" s="28"/>
    </row>
    <row r="845" spans="3:28" ht="11.25" customHeight="1" x14ac:dyDescent="0.35">
      <c r="C845" s="8"/>
      <c r="R845" s="40"/>
      <c r="AB845" s="28"/>
    </row>
    <row r="846" spans="3:28" ht="11.25" customHeight="1" x14ac:dyDescent="0.35">
      <c r="C846" s="8"/>
      <c r="R846" s="40"/>
      <c r="AB846" s="28"/>
    </row>
    <row r="847" spans="3:28" ht="11.25" customHeight="1" x14ac:dyDescent="0.35">
      <c r="C847" s="8"/>
      <c r="R847" s="40"/>
      <c r="AB847" s="28"/>
    </row>
    <row r="848" spans="3:28" ht="11.25" customHeight="1" x14ac:dyDescent="0.35">
      <c r="C848" s="8"/>
      <c r="R848" s="40"/>
      <c r="AB848" s="28"/>
    </row>
    <row r="849" spans="3:28" ht="11.25" customHeight="1" x14ac:dyDescent="0.35">
      <c r="C849" s="8"/>
      <c r="R849" s="40"/>
      <c r="AB849" s="28"/>
    </row>
    <row r="850" spans="3:28" ht="11.25" customHeight="1" x14ac:dyDescent="0.35">
      <c r="C850" s="8"/>
      <c r="R850" s="40"/>
      <c r="AB850" s="28"/>
    </row>
    <row r="851" spans="3:28" ht="11.25" customHeight="1" x14ac:dyDescent="0.35">
      <c r="C851" s="8"/>
      <c r="R851" s="40"/>
      <c r="AB851" s="28"/>
    </row>
    <row r="852" spans="3:28" ht="11.25" customHeight="1" x14ac:dyDescent="0.35">
      <c r="C852" s="8"/>
      <c r="R852" s="40"/>
      <c r="AB852" s="28"/>
    </row>
    <row r="853" spans="3:28" ht="11.25" customHeight="1" x14ac:dyDescent="0.35">
      <c r="C853" s="8"/>
      <c r="R853" s="40"/>
      <c r="AB853" s="28"/>
    </row>
    <row r="854" spans="3:28" ht="11.25" customHeight="1" x14ac:dyDescent="0.35">
      <c r="C854" s="8"/>
      <c r="R854" s="40"/>
      <c r="AB854" s="28"/>
    </row>
    <row r="855" spans="3:28" ht="11.25" customHeight="1" x14ac:dyDescent="0.35">
      <c r="C855" s="8"/>
      <c r="R855" s="40"/>
      <c r="AB855" s="28"/>
    </row>
    <row r="856" spans="3:28" ht="11.25" customHeight="1" x14ac:dyDescent="0.35">
      <c r="C856" s="8"/>
      <c r="R856" s="40"/>
      <c r="AB856" s="28"/>
    </row>
    <row r="857" spans="3:28" ht="11.25" customHeight="1" x14ac:dyDescent="0.35">
      <c r="C857" s="8"/>
      <c r="R857" s="40"/>
      <c r="AB857" s="28"/>
    </row>
    <row r="858" spans="3:28" ht="11.25" customHeight="1" x14ac:dyDescent="0.35">
      <c r="C858" s="8"/>
      <c r="R858" s="40"/>
      <c r="AB858" s="28"/>
    </row>
    <row r="859" spans="3:28" ht="11.25" customHeight="1" x14ac:dyDescent="0.35">
      <c r="C859" s="8"/>
      <c r="R859" s="40"/>
      <c r="AB859" s="28"/>
    </row>
    <row r="860" spans="3:28" ht="11.25" customHeight="1" x14ac:dyDescent="0.35">
      <c r="C860" s="8"/>
      <c r="R860" s="40"/>
      <c r="AB860" s="28"/>
    </row>
    <row r="861" spans="3:28" ht="11.25" customHeight="1" x14ac:dyDescent="0.35">
      <c r="C861" s="8"/>
      <c r="R861" s="40"/>
      <c r="AB861" s="28"/>
    </row>
    <row r="862" spans="3:28" ht="11.25" customHeight="1" x14ac:dyDescent="0.35">
      <c r="C862" s="8"/>
      <c r="R862" s="40"/>
      <c r="AB862" s="28"/>
    </row>
    <row r="863" spans="3:28" ht="11.25" customHeight="1" x14ac:dyDescent="0.35">
      <c r="C863" s="8"/>
      <c r="R863" s="40"/>
      <c r="AB863" s="28"/>
    </row>
    <row r="864" spans="3:28" ht="11.25" customHeight="1" x14ac:dyDescent="0.35">
      <c r="C864" s="8"/>
      <c r="R864" s="40"/>
      <c r="AB864" s="28"/>
    </row>
    <row r="865" spans="3:28" ht="11.25" customHeight="1" x14ac:dyDescent="0.35">
      <c r="C865" s="8"/>
      <c r="R865" s="40"/>
      <c r="AB865" s="28"/>
    </row>
    <row r="866" spans="3:28" ht="11.25" customHeight="1" x14ac:dyDescent="0.35">
      <c r="C866" s="8"/>
      <c r="R866" s="40"/>
      <c r="AB866" s="28"/>
    </row>
    <row r="867" spans="3:28" ht="11.25" customHeight="1" x14ac:dyDescent="0.35">
      <c r="C867" s="8"/>
      <c r="R867" s="40"/>
      <c r="AB867" s="28"/>
    </row>
    <row r="868" spans="3:28" ht="11.25" customHeight="1" x14ac:dyDescent="0.35">
      <c r="C868" s="8"/>
      <c r="R868" s="40"/>
      <c r="AB868" s="28"/>
    </row>
    <row r="869" spans="3:28" ht="11.25" customHeight="1" x14ac:dyDescent="0.35">
      <c r="C869" s="8"/>
      <c r="R869" s="40"/>
      <c r="AB869" s="28"/>
    </row>
    <row r="870" spans="3:28" ht="11.25" customHeight="1" x14ac:dyDescent="0.35">
      <c r="C870" s="8"/>
      <c r="R870" s="40"/>
      <c r="AB870" s="28"/>
    </row>
    <row r="871" spans="3:28" ht="11.25" customHeight="1" x14ac:dyDescent="0.35">
      <c r="C871" s="8"/>
      <c r="R871" s="40"/>
      <c r="AB871" s="28"/>
    </row>
    <row r="872" spans="3:28" ht="11.25" customHeight="1" x14ac:dyDescent="0.35">
      <c r="C872" s="8"/>
      <c r="R872" s="40"/>
      <c r="AB872" s="28"/>
    </row>
    <row r="873" spans="3:28" ht="11.25" customHeight="1" x14ac:dyDescent="0.35">
      <c r="C873" s="8"/>
      <c r="R873" s="40"/>
      <c r="AB873" s="28"/>
    </row>
    <row r="874" spans="3:28" ht="11.25" customHeight="1" x14ac:dyDescent="0.35">
      <c r="C874" s="8"/>
      <c r="R874" s="40"/>
      <c r="AB874" s="28"/>
    </row>
    <row r="875" spans="3:28" ht="11.25" customHeight="1" x14ac:dyDescent="0.35">
      <c r="C875" s="8"/>
      <c r="R875" s="40"/>
      <c r="AB875" s="28"/>
    </row>
    <row r="876" spans="3:28" ht="11.25" customHeight="1" x14ac:dyDescent="0.35">
      <c r="C876" s="8"/>
      <c r="R876" s="40"/>
      <c r="AB876" s="28"/>
    </row>
    <row r="877" spans="3:28" ht="11.25" customHeight="1" x14ac:dyDescent="0.35">
      <c r="C877" s="8"/>
      <c r="R877" s="40"/>
      <c r="AB877" s="28"/>
    </row>
    <row r="878" spans="3:28" ht="11.25" customHeight="1" x14ac:dyDescent="0.35">
      <c r="C878" s="8"/>
      <c r="R878" s="40"/>
      <c r="AB878" s="28"/>
    </row>
    <row r="879" spans="3:28" ht="11.25" customHeight="1" x14ac:dyDescent="0.35">
      <c r="C879" s="8"/>
      <c r="R879" s="40"/>
      <c r="AB879" s="28"/>
    </row>
    <row r="880" spans="3:28" ht="11.25" customHeight="1" x14ac:dyDescent="0.35">
      <c r="C880" s="8"/>
      <c r="R880" s="40"/>
      <c r="AB880" s="28"/>
    </row>
    <row r="881" spans="3:28" ht="11.25" customHeight="1" x14ac:dyDescent="0.35">
      <c r="C881" s="8"/>
      <c r="R881" s="40"/>
      <c r="AB881" s="28"/>
    </row>
    <row r="882" spans="3:28" ht="11.25" customHeight="1" x14ac:dyDescent="0.35">
      <c r="C882" s="8"/>
      <c r="R882" s="40"/>
      <c r="AB882" s="28"/>
    </row>
    <row r="883" spans="3:28" ht="11.25" customHeight="1" x14ac:dyDescent="0.35">
      <c r="C883" s="8"/>
      <c r="R883" s="40"/>
      <c r="AB883" s="28"/>
    </row>
    <row r="884" spans="3:28" ht="11.25" customHeight="1" x14ac:dyDescent="0.35">
      <c r="C884" s="8"/>
      <c r="R884" s="40"/>
      <c r="AB884" s="28"/>
    </row>
    <row r="885" spans="3:28" ht="11.25" customHeight="1" x14ac:dyDescent="0.35">
      <c r="C885" s="8"/>
      <c r="R885" s="40"/>
      <c r="AB885" s="28"/>
    </row>
    <row r="886" spans="3:28" ht="11.25" customHeight="1" x14ac:dyDescent="0.35">
      <c r="C886" s="8"/>
      <c r="R886" s="40"/>
      <c r="AB886" s="28"/>
    </row>
    <row r="887" spans="3:28" ht="11.25" customHeight="1" x14ac:dyDescent="0.35">
      <c r="C887" s="8"/>
      <c r="R887" s="40"/>
      <c r="AB887" s="28"/>
    </row>
    <row r="888" spans="3:28" ht="11.25" customHeight="1" x14ac:dyDescent="0.35">
      <c r="C888" s="8"/>
      <c r="R888" s="40"/>
      <c r="AB888" s="28"/>
    </row>
    <row r="889" spans="3:28" ht="11.25" customHeight="1" x14ac:dyDescent="0.35">
      <c r="C889" s="8"/>
      <c r="R889" s="40"/>
      <c r="AB889" s="28"/>
    </row>
    <row r="890" spans="3:28" ht="11.25" customHeight="1" x14ac:dyDescent="0.35">
      <c r="C890" s="8"/>
      <c r="R890" s="40"/>
      <c r="AB890" s="28"/>
    </row>
    <row r="891" spans="3:28" ht="11.25" customHeight="1" x14ac:dyDescent="0.35">
      <c r="C891" s="8"/>
      <c r="R891" s="40"/>
      <c r="AB891" s="28"/>
    </row>
    <row r="892" spans="3:28" ht="11.25" customHeight="1" x14ac:dyDescent="0.35">
      <c r="C892" s="8"/>
      <c r="R892" s="40"/>
      <c r="AB892" s="28"/>
    </row>
    <row r="893" spans="3:28" ht="11.25" customHeight="1" x14ac:dyDescent="0.35">
      <c r="C893" s="8"/>
      <c r="R893" s="40"/>
      <c r="AB893" s="28"/>
    </row>
    <row r="894" spans="3:28" ht="11.25" customHeight="1" x14ac:dyDescent="0.35">
      <c r="C894" s="8"/>
      <c r="R894" s="40"/>
      <c r="AB894" s="28"/>
    </row>
    <row r="895" spans="3:28" ht="11.25" customHeight="1" x14ac:dyDescent="0.35">
      <c r="C895" s="8"/>
      <c r="R895" s="40"/>
      <c r="AB895" s="28"/>
    </row>
    <row r="896" spans="3:28" ht="11.25" customHeight="1" x14ac:dyDescent="0.35">
      <c r="C896" s="8"/>
      <c r="R896" s="40"/>
      <c r="AB896" s="28"/>
    </row>
    <row r="897" spans="3:28" ht="11.25" customHeight="1" x14ac:dyDescent="0.35">
      <c r="C897" s="8"/>
      <c r="R897" s="40"/>
      <c r="AB897" s="28"/>
    </row>
    <row r="898" spans="3:28" ht="11.25" customHeight="1" x14ac:dyDescent="0.35">
      <c r="C898" s="8"/>
      <c r="R898" s="40"/>
      <c r="AB898" s="28"/>
    </row>
    <row r="899" spans="3:28" ht="11.25" customHeight="1" x14ac:dyDescent="0.35">
      <c r="C899" s="8"/>
      <c r="R899" s="40"/>
      <c r="AB899" s="28"/>
    </row>
    <row r="900" spans="3:28" ht="11.25" customHeight="1" x14ac:dyDescent="0.35">
      <c r="C900" s="8"/>
      <c r="R900" s="40"/>
      <c r="AB900" s="28"/>
    </row>
    <row r="901" spans="3:28" ht="11.25" customHeight="1" x14ac:dyDescent="0.35">
      <c r="C901" s="8"/>
      <c r="R901" s="40"/>
      <c r="AB901" s="28"/>
    </row>
    <row r="902" spans="3:28" ht="11.25" customHeight="1" x14ac:dyDescent="0.35">
      <c r="C902" s="8"/>
      <c r="R902" s="40"/>
      <c r="AB902" s="28"/>
    </row>
    <row r="903" spans="3:28" ht="11.25" customHeight="1" x14ac:dyDescent="0.35">
      <c r="C903" s="8"/>
      <c r="R903" s="40"/>
      <c r="AB903" s="28"/>
    </row>
    <row r="904" spans="3:28" ht="11.25" customHeight="1" x14ac:dyDescent="0.35">
      <c r="C904" s="8"/>
      <c r="R904" s="40"/>
      <c r="AB904" s="28"/>
    </row>
    <row r="905" spans="3:28" ht="11.25" customHeight="1" x14ac:dyDescent="0.35">
      <c r="C905" s="8"/>
      <c r="R905" s="40"/>
      <c r="AB905" s="28"/>
    </row>
    <row r="906" spans="3:28" ht="11.25" customHeight="1" x14ac:dyDescent="0.35">
      <c r="C906" s="8"/>
      <c r="R906" s="40"/>
      <c r="AB906" s="28"/>
    </row>
    <row r="907" spans="3:28" ht="11.25" customHeight="1" x14ac:dyDescent="0.35">
      <c r="C907" s="8"/>
      <c r="R907" s="40"/>
      <c r="AB907" s="28"/>
    </row>
    <row r="908" spans="3:28" ht="11.25" customHeight="1" x14ac:dyDescent="0.35">
      <c r="C908" s="8"/>
      <c r="R908" s="40"/>
      <c r="AB908" s="28"/>
    </row>
    <row r="909" spans="3:28" ht="11.25" customHeight="1" x14ac:dyDescent="0.35">
      <c r="C909" s="8"/>
      <c r="R909" s="40"/>
      <c r="AB909" s="28"/>
    </row>
    <row r="910" spans="3:28" ht="11.25" customHeight="1" x14ac:dyDescent="0.35">
      <c r="C910" s="8"/>
      <c r="R910" s="40"/>
      <c r="AB910" s="28"/>
    </row>
    <row r="911" spans="3:28" ht="11.25" customHeight="1" x14ac:dyDescent="0.35">
      <c r="C911" s="8"/>
      <c r="R911" s="40"/>
      <c r="AB911" s="28"/>
    </row>
    <row r="912" spans="3:28" ht="11.25" customHeight="1" x14ac:dyDescent="0.35">
      <c r="C912" s="8"/>
      <c r="R912" s="40"/>
      <c r="AB912" s="28"/>
    </row>
    <row r="913" spans="3:28" ht="11.25" customHeight="1" x14ac:dyDescent="0.35">
      <c r="C913" s="8"/>
      <c r="R913" s="40"/>
      <c r="AB913" s="28"/>
    </row>
    <row r="914" spans="3:28" ht="11.25" customHeight="1" x14ac:dyDescent="0.35">
      <c r="C914" s="8"/>
      <c r="R914" s="40"/>
      <c r="AB914" s="28"/>
    </row>
    <row r="915" spans="3:28" ht="11.25" customHeight="1" x14ac:dyDescent="0.35">
      <c r="C915" s="8"/>
      <c r="R915" s="40"/>
      <c r="AB915" s="28"/>
    </row>
    <row r="916" spans="3:28" ht="11.25" customHeight="1" x14ac:dyDescent="0.35">
      <c r="C916" s="8"/>
      <c r="R916" s="40"/>
      <c r="AB916" s="28"/>
    </row>
    <row r="917" spans="3:28" ht="11.25" customHeight="1" x14ac:dyDescent="0.35">
      <c r="C917" s="8"/>
      <c r="R917" s="40"/>
      <c r="AB917" s="28"/>
    </row>
    <row r="918" spans="3:28" ht="11.25" customHeight="1" x14ac:dyDescent="0.35">
      <c r="C918" s="8"/>
      <c r="R918" s="40"/>
      <c r="AB918" s="28"/>
    </row>
    <row r="919" spans="3:28" ht="11.25" customHeight="1" x14ac:dyDescent="0.35">
      <c r="C919" s="8"/>
      <c r="R919" s="40"/>
      <c r="AB919" s="28"/>
    </row>
    <row r="920" spans="3:28" ht="11.25" customHeight="1" x14ac:dyDescent="0.35">
      <c r="C920" s="8"/>
      <c r="R920" s="40"/>
      <c r="AB920" s="28"/>
    </row>
    <row r="921" spans="3:28" ht="11.25" customHeight="1" x14ac:dyDescent="0.35">
      <c r="C921" s="8"/>
      <c r="R921" s="40"/>
      <c r="AB921" s="28"/>
    </row>
    <row r="922" spans="3:28" ht="11.25" customHeight="1" x14ac:dyDescent="0.35">
      <c r="C922" s="8"/>
      <c r="R922" s="40"/>
      <c r="AB922" s="28"/>
    </row>
    <row r="923" spans="3:28" ht="11.25" customHeight="1" x14ac:dyDescent="0.35">
      <c r="C923" s="8"/>
      <c r="R923" s="40"/>
      <c r="AB923" s="28"/>
    </row>
    <row r="924" spans="3:28" ht="11.25" customHeight="1" x14ac:dyDescent="0.35">
      <c r="C924" s="8"/>
      <c r="R924" s="40"/>
      <c r="AB924" s="28"/>
    </row>
    <row r="925" spans="3:28" ht="11.25" customHeight="1" x14ac:dyDescent="0.35">
      <c r="C925" s="8"/>
      <c r="R925" s="40"/>
      <c r="AB925" s="28"/>
    </row>
    <row r="926" spans="3:28" ht="11.25" customHeight="1" x14ac:dyDescent="0.35">
      <c r="C926" s="8"/>
      <c r="R926" s="40"/>
      <c r="AB926" s="28"/>
    </row>
    <row r="927" spans="3:28" ht="11.25" customHeight="1" x14ac:dyDescent="0.35">
      <c r="C927" s="8"/>
      <c r="R927" s="40"/>
      <c r="AB927" s="28"/>
    </row>
    <row r="928" spans="3:28" ht="11.25" customHeight="1" x14ac:dyDescent="0.35">
      <c r="C928" s="8"/>
      <c r="R928" s="40"/>
      <c r="AB928" s="28"/>
    </row>
    <row r="929" spans="3:28" ht="11.25" customHeight="1" x14ac:dyDescent="0.35">
      <c r="C929" s="8"/>
      <c r="R929" s="40"/>
      <c r="AB929" s="28"/>
    </row>
    <row r="930" spans="3:28" ht="11.25" customHeight="1" x14ac:dyDescent="0.35">
      <c r="C930" s="8"/>
      <c r="R930" s="40"/>
      <c r="AB930" s="28"/>
    </row>
    <row r="931" spans="3:28" ht="11.25" customHeight="1" x14ac:dyDescent="0.35">
      <c r="C931" s="8"/>
      <c r="R931" s="40"/>
      <c r="AB931" s="28"/>
    </row>
    <row r="932" spans="3:28" ht="11.25" customHeight="1" x14ac:dyDescent="0.35">
      <c r="C932" s="8"/>
      <c r="R932" s="40"/>
      <c r="AB932" s="28"/>
    </row>
    <row r="933" spans="3:28" ht="11.25" customHeight="1" x14ac:dyDescent="0.35">
      <c r="C933" s="8"/>
      <c r="R933" s="40"/>
      <c r="AB933" s="28"/>
    </row>
    <row r="934" spans="3:28" ht="11.25" customHeight="1" x14ac:dyDescent="0.35">
      <c r="C934" s="8"/>
      <c r="R934" s="40"/>
      <c r="AB934" s="28"/>
    </row>
    <row r="935" spans="3:28" ht="11.25" customHeight="1" x14ac:dyDescent="0.35">
      <c r="C935" s="8"/>
      <c r="R935" s="40"/>
      <c r="AB935" s="28"/>
    </row>
    <row r="936" spans="3:28" ht="11.25" customHeight="1" x14ac:dyDescent="0.35">
      <c r="C936" s="8"/>
      <c r="R936" s="40"/>
      <c r="AB936" s="28"/>
    </row>
    <row r="937" spans="3:28" ht="11.25" customHeight="1" x14ac:dyDescent="0.35">
      <c r="C937" s="8"/>
      <c r="R937" s="40"/>
      <c r="AB937" s="28"/>
    </row>
    <row r="938" spans="3:28" ht="11.25" customHeight="1" x14ac:dyDescent="0.35">
      <c r="C938" s="8"/>
      <c r="R938" s="40"/>
      <c r="AB938" s="28"/>
    </row>
    <row r="939" spans="3:28" ht="11.25" customHeight="1" x14ac:dyDescent="0.35">
      <c r="C939" s="8"/>
      <c r="R939" s="40"/>
      <c r="AB939" s="28"/>
    </row>
    <row r="940" spans="3:28" ht="11.25" customHeight="1" x14ac:dyDescent="0.35">
      <c r="C940" s="8"/>
      <c r="R940" s="40"/>
      <c r="AB940" s="28"/>
    </row>
    <row r="941" spans="3:28" ht="11.25" customHeight="1" x14ac:dyDescent="0.35">
      <c r="C941" s="8"/>
      <c r="R941" s="40"/>
      <c r="AB941" s="28"/>
    </row>
    <row r="942" spans="3:28" ht="11.25" customHeight="1" x14ac:dyDescent="0.35">
      <c r="C942" s="8"/>
      <c r="R942" s="40"/>
      <c r="AB942" s="28"/>
    </row>
    <row r="943" spans="3:28" ht="11.25" customHeight="1" x14ac:dyDescent="0.35">
      <c r="C943" s="8"/>
      <c r="R943" s="40"/>
      <c r="AB943" s="28"/>
    </row>
    <row r="944" spans="3:28" ht="11.25" customHeight="1" x14ac:dyDescent="0.35">
      <c r="C944" s="8"/>
      <c r="R944" s="40"/>
      <c r="AB944" s="28"/>
    </row>
    <row r="945" spans="3:28" ht="11.25" customHeight="1" x14ac:dyDescent="0.35">
      <c r="C945" s="8"/>
      <c r="R945" s="40"/>
      <c r="AB945" s="28"/>
    </row>
    <row r="946" spans="3:28" ht="11.25" customHeight="1" x14ac:dyDescent="0.35">
      <c r="C946" s="8"/>
      <c r="R946" s="40"/>
      <c r="AB946" s="28"/>
    </row>
    <row r="947" spans="3:28" ht="11.25" customHeight="1" x14ac:dyDescent="0.35">
      <c r="C947" s="8"/>
      <c r="R947" s="40"/>
      <c r="AB947" s="28"/>
    </row>
    <row r="948" spans="3:28" ht="11.25" customHeight="1" x14ac:dyDescent="0.35">
      <c r="C948" s="8"/>
      <c r="R948" s="40"/>
      <c r="AB948" s="28"/>
    </row>
    <row r="949" spans="3:28" ht="11.25" customHeight="1" x14ac:dyDescent="0.35">
      <c r="C949" s="8"/>
      <c r="R949" s="40"/>
      <c r="AB949" s="28"/>
    </row>
    <row r="950" spans="3:28" ht="11.25" customHeight="1" x14ac:dyDescent="0.35">
      <c r="C950" s="8"/>
      <c r="R950" s="40"/>
      <c r="AB950" s="28"/>
    </row>
    <row r="951" spans="3:28" ht="11.25" customHeight="1" x14ac:dyDescent="0.35">
      <c r="C951" s="8"/>
      <c r="R951" s="40"/>
      <c r="AB951" s="28"/>
    </row>
    <row r="952" spans="3:28" ht="11.25" customHeight="1" x14ac:dyDescent="0.35">
      <c r="C952" s="8"/>
      <c r="R952" s="40"/>
      <c r="AB952" s="28"/>
    </row>
    <row r="953" spans="3:28" ht="11.25" customHeight="1" x14ac:dyDescent="0.35">
      <c r="C953" s="8"/>
      <c r="R953" s="40"/>
      <c r="AB953" s="28"/>
    </row>
    <row r="954" spans="3:28" ht="11.25" customHeight="1" x14ac:dyDescent="0.35">
      <c r="C954" s="8"/>
      <c r="R954" s="40"/>
      <c r="AB954" s="28"/>
    </row>
    <row r="955" spans="3:28" ht="11.25" customHeight="1" x14ac:dyDescent="0.35">
      <c r="C955" s="8"/>
      <c r="R955" s="40"/>
      <c r="AB955" s="28"/>
    </row>
    <row r="956" spans="3:28" ht="11.25" customHeight="1" x14ac:dyDescent="0.35">
      <c r="C956" s="8"/>
      <c r="R956" s="40"/>
      <c r="AB956" s="28"/>
    </row>
    <row r="957" spans="3:28" ht="11.25" customHeight="1" x14ac:dyDescent="0.35">
      <c r="C957" s="8"/>
      <c r="R957" s="40"/>
      <c r="AB957" s="28"/>
    </row>
    <row r="958" spans="3:28" ht="11.25" customHeight="1" x14ac:dyDescent="0.35">
      <c r="C958" s="8"/>
      <c r="R958" s="40"/>
      <c r="AB958" s="28"/>
    </row>
    <row r="959" spans="3:28" ht="11.25" customHeight="1" x14ac:dyDescent="0.35">
      <c r="C959" s="8"/>
      <c r="R959" s="40"/>
      <c r="AB959" s="28"/>
    </row>
    <row r="960" spans="3:28" ht="11.25" customHeight="1" x14ac:dyDescent="0.35">
      <c r="C960" s="8"/>
      <c r="R960" s="40"/>
      <c r="AB960" s="28"/>
    </row>
    <row r="961" spans="3:28" ht="11.25" customHeight="1" x14ac:dyDescent="0.35">
      <c r="C961" s="8"/>
      <c r="R961" s="40"/>
      <c r="AB961" s="28"/>
    </row>
    <row r="962" spans="3:28" ht="11.25" customHeight="1" x14ac:dyDescent="0.35">
      <c r="C962" s="8"/>
      <c r="R962" s="40"/>
      <c r="AB962" s="28"/>
    </row>
    <row r="963" spans="3:28" ht="11.25" customHeight="1" x14ac:dyDescent="0.35">
      <c r="C963" s="8"/>
      <c r="R963" s="40"/>
      <c r="AB963" s="28"/>
    </row>
    <row r="964" spans="3:28" ht="11.25" customHeight="1" x14ac:dyDescent="0.35">
      <c r="C964" s="8"/>
      <c r="R964" s="40"/>
      <c r="AB964" s="28"/>
    </row>
    <row r="965" spans="3:28" ht="11.25" customHeight="1" x14ac:dyDescent="0.35">
      <c r="C965" s="8"/>
      <c r="R965" s="40"/>
      <c r="AB965" s="28"/>
    </row>
    <row r="966" spans="3:28" ht="11.25" customHeight="1" x14ac:dyDescent="0.35">
      <c r="C966" s="8"/>
      <c r="R966" s="40"/>
      <c r="AB966" s="28"/>
    </row>
    <row r="967" spans="3:28" ht="11.25" customHeight="1" x14ac:dyDescent="0.35">
      <c r="C967" s="8"/>
      <c r="R967" s="40"/>
      <c r="AB967" s="28"/>
    </row>
    <row r="968" spans="3:28" ht="11.25" customHeight="1" x14ac:dyDescent="0.35">
      <c r="C968" s="8"/>
      <c r="R968" s="40"/>
      <c r="AB968" s="28"/>
    </row>
    <row r="969" spans="3:28" ht="11.25" customHeight="1" x14ac:dyDescent="0.35">
      <c r="C969" s="8"/>
      <c r="R969" s="40"/>
      <c r="AB969" s="28"/>
    </row>
    <row r="970" spans="3:28" ht="11.25" customHeight="1" x14ac:dyDescent="0.35">
      <c r="C970" s="8"/>
      <c r="R970" s="40"/>
      <c r="AB970" s="28"/>
    </row>
    <row r="971" spans="3:28" ht="11.25" customHeight="1" x14ac:dyDescent="0.35">
      <c r="C971" s="8"/>
      <c r="R971" s="40"/>
      <c r="AB971" s="28"/>
    </row>
    <row r="972" spans="3:28" ht="11.25" customHeight="1" x14ac:dyDescent="0.35">
      <c r="C972" s="8"/>
      <c r="R972" s="40"/>
      <c r="AB972" s="28"/>
    </row>
    <row r="973" spans="3:28" ht="11.25" customHeight="1" x14ac:dyDescent="0.35">
      <c r="C973" s="8"/>
      <c r="R973" s="40"/>
      <c r="AB973" s="28"/>
    </row>
    <row r="974" spans="3:28" ht="11.25" customHeight="1" x14ac:dyDescent="0.35">
      <c r="C974" s="8"/>
      <c r="R974" s="40"/>
      <c r="AB974" s="28"/>
    </row>
    <row r="975" spans="3:28" ht="11.25" customHeight="1" x14ac:dyDescent="0.35">
      <c r="C975" s="8"/>
      <c r="R975" s="40"/>
      <c r="AB975" s="28"/>
    </row>
    <row r="976" spans="3:28" ht="11.25" customHeight="1" x14ac:dyDescent="0.35">
      <c r="C976" s="8"/>
      <c r="R976" s="40"/>
      <c r="AB976" s="28"/>
    </row>
    <row r="977" spans="3:28" ht="11.25" customHeight="1" x14ac:dyDescent="0.35">
      <c r="C977" s="8"/>
      <c r="R977" s="40"/>
      <c r="AB977" s="28"/>
    </row>
    <row r="978" spans="3:28" ht="11.25" customHeight="1" x14ac:dyDescent="0.35">
      <c r="C978" s="8"/>
      <c r="R978" s="40"/>
      <c r="AB978" s="28"/>
    </row>
    <row r="979" spans="3:28" ht="11.25" customHeight="1" x14ac:dyDescent="0.35">
      <c r="C979" s="8"/>
      <c r="R979" s="40"/>
      <c r="AB979" s="28"/>
    </row>
    <row r="980" spans="3:28" ht="11.25" customHeight="1" x14ac:dyDescent="0.35">
      <c r="C980" s="8"/>
      <c r="R980" s="40"/>
      <c r="AB980" s="28"/>
    </row>
    <row r="981" spans="3:28" ht="11.25" customHeight="1" x14ac:dyDescent="0.35">
      <c r="C981" s="8"/>
      <c r="R981" s="40"/>
      <c r="AB981" s="28"/>
    </row>
    <row r="982" spans="3:28" ht="11.25" customHeight="1" x14ac:dyDescent="0.35">
      <c r="C982" s="8"/>
      <c r="R982" s="40"/>
      <c r="AB982" s="28"/>
    </row>
    <row r="983" spans="3:28" ht="11.25" customHeight="1" x14ac:dyDescent="0.35">
      <c r="C983" s="8"/>
      <c r="R983" s="40"/>
      <c r="AB983" s="28"/>
    </row>
    <row r="984" spans="3:28" ht="11.25" customHeight="1" x14ac:dyDescent="0.35">
      <c r="C984" s="8"/>
      <c r="R984" s="40"/>
      <c r="AB984" s="28"/>
    </row>
  </sheetData>
  <sheetProtection formatCells="0" formatColumns="0" formatRows="0" insertColumns="0" insertRows="0" deleteColumns="0"/>
  <dataConsolidate/>
  <mergeCells count="2">
    <mergeCell ref="R5:R6"/>
    <mergeCell ref="R7:R8"/>
  </mergeCells>
  <phoneticPr fontId="4" type="noConversion"/>
  <printOptions horizontalCentered="1" headings="1"/>
  <pageMargins left="0.39370078740157483" right="0.39370078740157483" top="0.59055118110236227" bottom="0.59055118110236227" header="0.39370078740157483" footer="0.39370078740157483"/>
  <pageSetup paperSize="9" pageOrder="overThenDown" orientation="landscape" r:id="rId1"/>
  <headerFooter alignWithMargins="0">
    <oddHeader>&amp;R&amp;"Arial Narrow,Normal"&amp;8Servicio de Estudios. Información y Métodos de Calculo. UDEI</oddHeader>
    <oddFooter>&amp;L&amp;"Arial Narrow,Normal"&amp;8&amp;Z&amp;F&amp;R&amp;"Arial Narrow,Normal"&amp;8Hoja: &amp;A&amp; (&amp;P &amp; de &amp;N)</oddFooter>
  </headerFooter>
  <customProperties>
    <customPr name="IBERIA.Market.Data.Providers.Request.Excel.Sheet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4"/>
  <sheetViews>
    <sheetView workbookViewId="0"/>
  </sheetViews>
  <sheetFormatPr baseColWidth="10" defaultColWidth="11.07421875" defaultRowHeight="12.5" x14ac:dyDescent="0.35"/>
  <cols>
    <col min="1" max="1" width="4" style="12" customWidth="1"/>
    <col min="2" max="2" width="23.3046875" style="12" customWidth="1"/>
    <col min="3" max="3" width="42" style="12" customWidth="1"/>
    <col min="4" max="4" width="11.07421875" style="12"/>
    <col min="5" max="5" width="29" style="12" customWidth="1"/>
    <col min="6" max="6" width="21.69140625" style="12" customWidth="1"/>
    <col min="7" max="7" width="20" style="12" customWidth="1"/>
    <col min="8" max="16384" width="11.07421875" style="12"/>
  </cols>
  <sheetData>
    <row r="1" spans="2:7" ht="27.65" customHeight="1" x14ac:dyDescent="0.35">
      <c r="B1" s="63" t="s">
        <v>31</v>
      </c>
      <c r="C1" s="63"/>
      <c r="E1" s="63" t="s">
        <v>30</v>
      </c>
      <c r="F1" s="63"/>
      <c r="G1" s="63"/>
    </row>
    <row r="2" spans="2:7" ht="22" customHeight="1" x14ac:dyDescent="0.35">
      <c r="F2" s="13" t="s">
        <v>10</v>
      </c>
      <c r="G2" s="14" t="s">
        <v>11</v>
      </c>
    </row>
    <row r="3" spans="2:7" ht="39" customHeight="1" x14ac:dyDescent="0.35">
      <c r="B3" s="12" t="s">
        <v>16</v>
      </c>
      <c r="C3" s="43" t="s">
        <v>21</v>
      </c>
      <c r="E3" s="18" t="s">
        <v>3</v>
      </c>
      <c r="F3" s="17" t="s">
        <v>49</v>
      </c>
      <c r="G3" s="16" t="s">
        <v>48</v>
      </c>
    </row>
    <row r="4" spans="2:7" ht="20.149999999999999" customHeight="1" x14ac:dyDescent="0.35">
      <c r="B4" s="44" t="s">
        <v>14</v>
      </c>
      <c r="C4" s="45" t="s">
        <v>22</v>
      </c>
      <c r="E4" s="19" t="s">
        <v>0</v>
      </c>
      <c r="F4" s="17" t="s">
        <v>1</v>
      </c>
      <c r="G4" s="16" t="s">
        <v>2</v>
      </c>
    </row>
    <row r="5" spans="2:7" ht="20.149999999999999" customHeight="1" x14ac:dyDescent="0.35">
      <c r="B5" s="44" t="s">
        <v>15</v>
      </c>
      <c r="C5" s="45" t="s">
        <v>23</v>
      </c>
      <c r="E5" s="19" t="s">
        <v>4</v>
      </c>
      <c r="F5" s="66" t="s">
        <v>5</v>
      </c>
      <c r="G5" s="67"/>
    </row>
    <row r="6" spans="2:7" ht="20.149999999999999" customHeight="1" x14ac:dyDescent="0.35">
      <c r="B6" s="44" t="s">
        <v>47</v>
      </c>
      <c r="C6" s="45" t="s">
        <v>24</v>
      </c>
      <c r="E6" s="18" t="s">
        <v>32</v>
      </c>
      <c r="F6" s="17" t="s">
        <v>6</v>
      </c>
      <c r="G6" s="16" t="s">
        <v>7</v>
      </c>
    </row>
    <row r="7" spans="2:7" ht="20.149999999999999" customHeight="1" x14ac:dyDescent="0.35">
      <c r="B7" s="44" t="s">
        <v>17</v>
      </c>
      <c r="C7" s="45" t="s">
        <v>22</v>
      </c>
      <c r="E7" s="15" t="s">
        <v>8</v>
      </c>
      <c r="F7" s="68" t="s">
        <v>9</v>
      </c>
      <c r="G7" s="68"/>
    </row>
    <row r="8" spans="2:7" ht="20.149999999999999" customHeight="1" x14ac:dyDescent="0.35">
      <c r="B8" s="44" t="s">
        <v>18</v>
      </c>
      <c r="C8" s="45" t="s">
        <v>22</v>
      </c>
      <c r="E8" s="20" t="s">
        <v>33</v>
      </c>
      <c r="F8" s="69" t="s">
        <v>12</v>
      </c>
      <c r="G8" s="69"/>
    </row>
    <row r="9" spans="2:7" ht="20.149999999999999" customHeight="1" x14ac:dyDescent="0.35">
      <c r="B9" s="44" t="s">
        <v>25</v>
      </c>
      <c r="C9" s="45" t="s">
        <v>26</v>
      </c>
      <c r="E9" s="12" t="s">
        <v>36</v>
      </c>
      <c r="F9" s="64" t="s">
        <v>13</v>
      </c>
      <c r="G9" s="65"/>
    </row>
    <row r="10" spans="2:7" ht="20.149999999999999" customHeight="1" x14ac:dyDescent="0.35">
      <c r="B10" s="44" t="s">
        <v>34</v>
      </c>
      <c r="C10" s="45" t="s">
        <v>27</v>
      </c>
      <c r="E10" s="47" t="s">
        <v>37</v>
      </c>
      <c r="F10" s="64" t="s">
        <v>38</v>
      </c>
      <c r="G10" s="65"/>
    </row>
    <row r="11" spans="2:7" ht="20.149999999999999" customHeight="1" x14ac:dyDescent="0.35">
      <c r="B11" s="44" t="s">
        <v>35</v>
      </c>
      <c r="C11" s="45" t="s">
        <v>28</v>
      </c>
    </row>
    <row r="12" spans="2:7" ht="20.149999999999999" customHeight="1" x14ac:dyDescent="0.35">
      <c r="B12" s="44" t="s">
        <v>19</v>
      </c>
      <c r="C12" s="45" t="s">
        <v>22</v>
      </c>
    </row>
    <row r="13" spans="2:7" ht="20.149999999999999" customHeight="1" x14ac:dyDescent="0.35">
      <c r="B13" s="12" t="s">
        <v>20</v>
      </c>
      <c r="C13" s="46" t="s">
        <v>29</v>
      </c>
    </row>
    <row r="14" spans="2:7" ht="51" customHeight="1" x14ac:dyDescent="0.35">
      <c r="B14" s="12" t="s">
        <v>39</v>
      </c>
      <c r="C14" s="43" t="s">
        <v>40</v>
      </c>
    </row>
    <row r="15" spans="2:7" s="48" customFormat="1" ht="22" customHeight="1" x14ac:dyDescent="0.35">
      <c r="B15" s="49" t="s">
        <v>46</v>
      </c>
      <c r="C15" s="50" t="s">
        <v>41</v>
      </c>
    </row>
    <row r="16" spans="2:7" s="48" customFormat="1" ht="22" customHeight="1" x14ac:dyDescent="0.35">
      <c r="B16" s="49" t="s">
        <v>42</v>
      </c>
      <c r="C16" s="50" t="s">
        <v>43</v>
      </c>
    </row>
    <row r="17" spans="2:3" s="51" customFormat="1" ht="22" customHeight="1" x14ac:dyDescent="0.35">
      <c r="B17" s="51" t="s">
        <v>44</v>
      </c>
      <c r="C17" s="51" t="s">
        <v>45</v>
      </c>
    </row>
    <row r="18" spans="2:3" ht="22" customHeight="1" x14ac:dyDescent="0.35"/>
    <row r="19" spans="2:3" ht="22" customHeight="1" x14ac:dyDescent="0.35"/>
    <row r="20" spans="2:3" ht="22" customHeight="1" x14ac:dyDescent="0.35"/>
    <row r="21" spans="2:3" ht="22" customHeight="1" x14ac:dyDescent="0.35"/>
    <row r="22" spans="2:3" ht="22" customHeight="1" x14ac:dyDescent="0.35"/>
    <row r="23" spans="2:3" ht="22" customHeight="1" x14ac:dyDescent="0.35"/>
    <row r="24" spans="2:3" ht="22" customHeight="1" x14ac:dyDescent="0.35"/>
    <row r="25" spans="2:3" ht="22" customHeight="1" x14ac:dyDescent="0.35"/>
    <row r="26" spans="2:3" ht="22" customHeight="1" x14ac:dyDescent="0.35"/>
    <row r="27" spans="2:3" ht="22" customHeight="1" x14ac:dyDescent="0.35"/>
    <row r="28" spans="2:3" ht="22" customHeight="1" x14ac:dyDescent="0.35"/>
    <row r="29" spans="2:3" ht="22" customHeight="1" x14ac:dyDescent="0.35"/>
    <row r="30" spans="2:3" ht="22" customHeight="1" x14ac:dyDescent="0.35"/>
    <row r="31" spans="2:3" ht="22" customHeight="1" x14ac:dyDescent="0.35"/>
    <row r="32" spans="2:3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</sheetData>
  <mergeCells count="7">
    <mergeCell ref="E1:G1"/>
    <mergeCell ref="B1:C1"/>
    <mergeCell ref="F10:G10"/>
    <mergeCell ref="F9:G9"/>
    <mergeCell ref="F5:G5"/>
    <mergeCell ref="F7:G7"/>
    <mergeCell ref="F8:G8"/>
  </mergeCells>
  <pageMargins left="0.7" right="0.7" top="0.75" bottom="0.75" header="0.3" footer="0.3"/>
  <pageSetup paperSize="9" orientation="portrait" r:id="rId1"/>
  <customProperties>
    <customPr name="IBERIA.Market.Data.Providers.Request.Excel.Sheet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tentconnect xmlns="http://schemas.opentext.com/novous/product_name">
  <product_name>d2</product_name>
</contentconnect>
</file>

<file path=customXml/item2.xml><?xml version="1.0" encoding="utf-8"?>
<contentconnect xmlns="http://schemas.opentext.com/novous/objectid">
  <objectid>0b012db486179831</objectid>
</contentconnect>
</file>

<file path=customXml/itemProps1.xml><?xml version="1.0" encoding="utf-8"?>
<ds:datastoreItem xmlns:ds="http://schemas.openxmlformats.org/officeDocument/2006/customXml" ds:itemID="{B2D16A72-F584-4F4D-AE4A-BDBF5AC5CE30}">
  <ds:schemaRefs>
    <ds:schemaRef ds:uri="http://schemas.opentext.com/novous/product_name"/>
  </ds:schemaRefs>
</ds:datastoreItem>
</file>

<file path=customXml/itemProps2.xml><?xml version="1.0" encoding="utf-8"?>
<ds:datastoreItem xmlns:ds="http://schemas.openxmlformats.org/officeDocument/2006/customXml" ds:itemID="{D2542C2F-897B-42A9-9CB7-EB201D5499D0}">
  <ds:schemaRefs>
    <ds:schemaRef ds:uri="http://schemas.opentext.com/novous/object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Gráfico</vt:lpstr>
      <vt:lpstr>Datos</vt:lpstr>
      <vt:lpstr>Guía (para equipo edición)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secjcp</dc:creator>
  <cp:lastModifiedBy>SANCHEZ SANCHEZ, PEDRO (EXTERNO)</cp:lastModifiedBy>
  <cp:lastPrinted>2025-11-19T09:11:14Z</cp:lastPrinted>
  <dcterms:created xsi:type="dcterms:W3CDTF">2004-01-19T13:05:07Z</dcterms:created>
  <dcterms:modified xsi:type="dcterms:W3CDTF">2026-06-05T14:37:51Z</dcterms:modified>
</cp:coreProperties>
</file>