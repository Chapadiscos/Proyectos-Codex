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ustomProperty1.bin" ContentType="application/vnd.openxmlformats-officedocument.spreadsheetml.customProperty"/>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Z:\trc\PUBLICACIONES\TERMINADOS\InformeAnual\InformeAnual_2025\"/>
    </mc:Choice>
  </mc:AlternateContent>
  <xr:revisionPtr revIDLastSave="0" documentId="13_ncr:1_{06DF1256-BC92-4CD3-BF8F-17CD7612FC74}" xr6:coauthVersionLast="47" xr6:coauthVersionMax="47" xr10:uidLastSave="{00000000-0000-0000-0000-000000000000}"/>
  <bookViews>
    <workbookView xWindow="-120" yWindow="-120" windowWidth="29040" windowHeight="15720" tabRatio="853" activeTab="1" xr2:uid="{00000000-000D-0000-FFFF-FFFF00000000}"/>
  </bookViews>
  <sheets>
    <sheet name="Gráfico 1" sheetId="14" r:id="rId1"/>
    <sheet name="Gráfico 2" sheetId="15" r:id="rId2"/>
    <sheet name="Cuadro 1" sheetId="6" r:id="rId3"/>
    <sheet name="Cuadro 2" sheetId="7" r:id="rId4"/>
    <sheet name="pretrends" sheetId="2" r:id="rId5"/>
    <sheet name="event_study" sheetId="1" r:id="rId6"/>
    <sheet name="event_study (%)" sheetId="11" r:id="rId7"/>
    <sheet name="results_CS" sheetId="3" r:id="rId8"/>
    <sheet name="results_CS (%)" sheetId="12" r:id="rId9"/>
    <sheet name="results_intangibles" sheetId="9" r:id="rId10"/>
    <sheet name="results_intangibles (2)" sheetId="10" r:id="rId11"/>
    <sheet name="estimadores_2x2" sheetId="5" r:id="rId12"/>
  </sheets>
  <externalReferences>
    <externalReference r:id="rId13"/>
    <externalReference r:id="rId14"/>
  </externalReferences>
  <definedNames>
    <definedName name="_Fil2" hidden="1">[1]D1!$V$6:$AJ$6</definedName>
    <definedName name="_Fil3" hidden="1">[2]D1!$V$6:$AJ$6</definedName>
    <definedName name="_Fill" hidden="1">[1]D1!$V$6:$AJ$6</definedName>
    <definedName name="_Fill4" hidden="1">[2]D1!$V$6:$AJ$6</definedName>
    <definedName name="_Order1" hidden="1">0</definedName>
    <definedName name="_Order2" hidden="1">0</definedName>
    <definedName name="_xlnm.Print_Area" localSheetId="2">'Cuadro 1'!$B$1:$G$53</definedName>
    <definedName name="_xlnm.Print_Area" localSheetId="3">'Cuadro 2'!$B$1:$E$52</definedName>
    <definedName name="Borrame" hidden="1">[2]D1!$V$6:$AJ$6</definedName>
    <definedName name="New_Fil2" hidden="1">[1]D1!$V$6:$AJ$6</definedName>
    <definedName name="NewNew_FIl" hidden="1">[1]D1!$V$6:$AJ$6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2" l="1"/>
  <c r="G5" i="12"/>
  <c r="F6" i="12"/>
  <c r="G6" i="12"/>
  <c r="F7" i="12"/>
  <c r="G7" i="12"/>
  <c r="F8" i="12"/>
  <c r="G8" i="12"/>
  <c r="F9" i="12"/>
  <c r="G9" i="12"/>
  <c r="F10" i="12"/>
  <c r="G10" i="12"/>
  <c r="F11" i="12"/>
  <c r="G11" i="12"/>
  <c r="F12" i="12"/>
  <c r="G12" i="12"/>
  <c r="F13" i="12"/>
  <c r="G13" i="12"/>
  <c r="G4" i="12"/>
  <c r="F4" i="12"/>
  <c r="C4" i="12"/>
  <c r="C5" i="12"/>
  <c r="C6" i="12"/>
  <c r="C7" i="12"/>
  <c r="C8" i="12"/>
  <c r="C9" i="12"/>
  <c r="C10" i="12"/>
  <c r="C11" i="12"/>
  <c r="C12" i="12"/>
  <c r="C13" i="12"/>
  <c r="B5" i="12"/>
  <c r="B6" i="12"/>
  <c r="B7" i="12"/>
  <c r="B8" i="12"/>
  <c r="B9" i="12"/>
  <c r="B10" i="12"/>
  <c r="B11" i="12"/>
  <c r="B12" i="12"/>
  <c r="B13" i="12"/>
  <c r="B4" i="12"/>
  <c r="G2" i="11"/>
  <c r="G3" i="11"/>
  <c r="G4" i="11"/>
  <c r="G5" i="11"/>
  <c r="G6" i="11"/>
  <c r="G7" i="11"/>
  <c r="G8" i="11"/>
  <c r="G9" i="11"/>
  <c r="G10" i="11"/>
  <c r="F3" i="11"/>
  <c r="F4" i="11"/>
  <c r="F5" i="11"/>
  <c r="F6" i="11"/>
  <c r="F7" i="11"/>
  <c r="F8" i="11"/>
  <c r="F9" i="11"/>
  <c r="F10" i="11"/>
  <c r="F2" i="11"/>
  <c r="C2" i="11"/>
  <c r="C3" i="11"/>
  <c r="C4" i="11"/>
  <c r="C5" i="11"/>
  <c r="C6" i="11"/>
  <c r="C7" i="11"/>
  <c r="C8" i="11"/>
  <c r="C9" i="11"/>
  <c r="C10" i="11"/>
  <c r="B3" i="11"/>
  <c r="B4" i="11"/>
  <c r="B5" i="11"/>
  <c r="B6" i="11"/>
  <c r="B7" i="11"/>
  <c r="B8" i="11"/>
  <c r="B9" i="11"/>
  <c r="B10" i="11"/>
  <c r="B2" i="11"/>
  <c r="F12" i="10"/>
  <c r="F13" i="10"/>
  <c r="F11" i="10"/>
  <c r="G11" i="10"/>
  <c r="G13" i="10"/>
  <c r="G12" i="10"/>
  <c r="C24" i="2"/>
  <c r="D24" i="2"/>
  <c r="C25" i="2"/>
  <c r="D25" i="2"/>
  <c r="C23" i="2"/>
  <c r="C17" i="2"/>
  <c r="D17" i="2"/>
  <c r="C18" i="2"/>
  <c r="D18" i="2"/>
  <c r="C19" i="2"/>
  <c r="D19" i="2"/>
  <c r="C20" i="2"/>
  <c r="D20" i="2"/>
  <c r="C21" i="2"/>
  <c r="D21" i="2"/>
  <c r="C22" i="2"/>
  <c r="D22" i="2"/>
  <c r="D23" i="2"/>
  <c r="D16" i="2"/>
  <c r="C16" i="2"/>
</calcChain>
</file>

<file path=xl/sharedStrings.xml><?xml version="1.0" encoding="utf-8"?>
<sst xmlns="http://schemas.openxmlformats.org/spreadsheetml/2006/main" count="121" uniqueCount="59">
  <si>
    <t>Variable</t>
  </si>
  <si>
    <t>Coeficiente</t>
  </si>
  <si>
    <t>Error estándar</t>
  </si>
  <si>
    <t>t</t>
  </si>
  <si>
    <t>p-valor</t>
  </si>
  <si>
    <t>IC 95% inf.</t>
  </si>
  <si>
    <t>IC 95% sup.</t>
  </si>
  <si>
    <t>_cons</t>
  </si>
  <si>
    <t>cod_ejercicio</t>
  </si>
  <si>
    <t>treated</t>
  </si>
  <si>
    <t>ln_va_control</t>
  </si>
  <si>
    <t>ln_va_tratadas</t>
  </si>
  <si>
    <t>ln_emp_control</t>
  </si>
  <si>
    <t>ln_emp_tratadas</t>
  </si>
  <si>
    <t>PTF no tratadas</t>
  </si>
  <si>
    <t>PTF tratadas</t>
  </si>
  <si>
    <t>BANDAS GRAFICO</t>
  </si>
  <si>
    <t>z</t>
  </si>
  <si>
    <t>Pre_avg</t>
  </si>
  <si>
    <t>Post_avg</t>
  </si>
  <si>
    <t>ATT</t>
  </si>
  <si>
    <t>Ratio de deuda sobre activos</t>
  </si>
  <si>
    <t>Edad</t>
  </si>
  <si>
    <t>Método</t>
  </si>
  <si>
    <t>dripw</t>
  </si>
  <si>
    <t>drimp</t>
  </si>
  <si>
    <t>reg</t>
  </si>
  <si>
    <t>ipw</t>
  </si>
  <si>
    <t>stdipw</t>
  </si>
  <si>
    <t>sipwra</t>
  </si>
  <si>
    <t>Empresas tratadas</t>
  </si>
  <si>
    <t>Encabezado doble</t>
  </si>
  <si>
    <t>0.016***</t>
  </si>
  <si>
    <t>0.015***</t>
  </si>
  <si>
    <t>0.017***</t>
  </si>
  <si>
    <t>Efecto medio del tratamiento</t>
  </si>
  <si>
    <t>Estimador</t>
  </si>
  <si>
    <t>Activos (ln)</t>
  </si>
  <si>
    <t>Número de empleados (ln)</t>
  </si>
  <si>
    <t>Valor añadido (ln)</t>
  </si>
  <si>
    <t>Número de empresas</t>
  </si>
  <si>
    <t>Diferencia
(sin ponderar)</t>
  </si>
  <si>
    <t>Diferencia 
(tras ponderar)</t>
  </si>
  <si>
    <t>Empresas no tratadas
(sin ponderar)</t>
  </si>
  <si>
    <t>Empresas no tratadas
(tras ponderar)</t>
  </si>
  <si>
    <t>Coefficient</t>
  </si>
  <si>
    <t>CI_lower</t>
  </si>
  <si>
    <t>CI_upper</t>
  </si>
  <si>
    <t>Tm8</t>
  </si>
  <si>
    <t>Tm7</t>
  </si>
  <si>
    <t>Tm6</t>
  </si>
  <si>
    <t>Tm5</t>
  </si>
  <si>
    <t>Tm4</t>
  </si>
  <si>
    <t>Tm3</t>
  </si>
  <si>
    <t>Tm2</t>
  </si>
  <si>
    <t>Tm1</t>
  </si>
  <si>
    <t>Tp0</t>
  </si>
  <si>
    <t>Tp1</t>
  </si>
  <si>
    <r>
      <t>FUENTES:</t>
    </r>
    <r>
      <rPr>
        <b/>
        <sz val="10"/>
        <color theme="1"/>
        <rFont val="BdE Neue Helvetica 55 Roman"/>
        <family val="2"/>
      </rPr>
      <t xml:space="preserve"> </t>
    </r>
    <r>
      <rPr>
        <sz val="9"/>
        <color theme="1"/>
        <rFont val="BdE Neue Helvetica 55 Roman"/>
        <family val="2"/>
      </rPr>
      <t>Central de Balances Integrada (CBI) y datos administrativos del Kit Digital (red.es)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</si>
</sst>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_m_m_m"/>
    <numFmt numFmtId="165" formatCode="0.000_m_m_m"/>
    <numFmt numFmtId="166" formatCode="0_m_m_m"/>
    <numFmt numFmtId="167" formatCode="_-* #,##0.00\ [$€-1]_-;\-* #,##0.00\ [$€-1]_-;_-* &quot;-&quot;??\ [$€-1]_-"/>
  </numFmts>
  <fonts count="17" x14ac:knownFonts="1">
    <font>
      <sz val="11"/>
      <color theme="1"/>
      <name val="Calibri"/>
      <family val="2"/>
      <scheme val="minor"/>
    </font>
    <font>
      <b/>
      <sz val="11"/>
      <color theme="1"/>
      <name val="Segoe UI"/>
      <family val="2"/>
    </font>
    <font>
      <sz val="11"/>
      <color theme="1"/>
      <name val="Segoe UI"/>
      <family val="2"/>
    </font>
    <font>
      <b/>
      <sz val="11"/>
      <name val="Calibri"/>
      <family val="2"/>
    </font>
    <font>
      <b/>
      <sz val="11"/>
      <name val="Calibri"/>
      <family val="2"/>
    </font>
    <font>
      <sz val="12"/>
      <name val="Arial"/>
      <family val="2"/>
    </font>
    <font>
      <sz val="7.5"/>
      <name val="Roboto Light"/>
    </font>
    <font>
      <sz val="12"/>
      <name val="Roboto Light"/>
    </font>
    <font>
      <sz val="12"/>
      <color rgb="FFFF0000"/>
      <name val="Roboto Light"/>
    </font>
    <font>
      <b/>
      <sz val="9"/>
      <color theme="1"/>
      <name val="BdE Neue Helvetica 55 Roman"/>
      <family val="2"/>
    </font>
    <font>
      <b/>
      <sz val="10"/>
      <color theme="1"/>
      <name val="BdE Neue Helvetica 55 Roman"/>
      <family val="2"/>
    </font>
    <font>
      <sz val="9"/>
      <color theme="1"/>
      <name val="BdE Neue Helvetica 55 Roman"/>
      <family val="2"/>
    </font>
    <font>
      <sz val="8"/>
      <name val="Roboto"/>
    </font>
    <font>
      <sz val="12"/>
      <name val="Roboto"/>
    </font>
    <font>
      <sz val="8"/>
      <color rgb="FFC00000"/>
      <name val="Roboto"/>
    </font>
    <font>
      <u/>
      <sz val="8"/>
      <name val="Roboto"/>
    </font>
    <font>
      <sz val="12"/>
      <name val="Arial"/>
      <family val="2"/>
    </font>
  </fonts>
  <fills count="4">
    <fill>
      <patternFill patternType="none"/>
    </fill>
    <fill>
      <patternFill patternType="gray125"/>
    </fill>
    <fill>
      <patternFill patternType="solid">
        <fgColor rgb="FFF5F5F5"/>
        <bgColor indexed="64"/>
      </patternFill>
    </fill>
    <fill>
      <patternFill patternType="solid">
        <fgColor theme="0"/>
        <bgColor indexed="64"/>
      </patternFill>
    </fill>
  </fills>
  <borders count="16">
    <border>
      <left/>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E6E6E6"/>
      </left>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diagonal/>
    </border>
    <border>
      <left/>
      <right/>
      <top/>
      <bottom style="thin">
        <color theme="3"/>
      </bottom>
      <diagonal/>
    </border>
    <border>
      <left/>
      <right/>
      <top/>
      <bottom style="thin">
        <color theme="0"/>
      </bottom>
      <diagonal/>
    </border>
    <border>
      <left/>
      <right/>
      <top style="thin">
        <color rgb="FFB3D9FF"/>
      </top>
      <bottom style="thin">
        <color rgb="FFB3D9FF"/>
      </bottom>
      <diagonal/>
    </border>
    <border>
      <left/>
      <right/>
      <top/>
      <bottom style="thin">
        <color rgb="FFB3D9FF"/>
      </bottom>
      <diagonal/>
    </border>
    <border>
      <left/>
      <right/>
      <top/>
      <bottom style="thin">
        <color rgb="FF00B0F0"/>
      </bottom>
      <diagonal/>
    </border>
    <border>
      <left/>
      <right/>
      <top style="thin">
        <color theme="0"/>
      </top>
      <bottom style="thin">
        <color rgb="FF00B0F0"/>
      </bottom>
      <diagonal/>
    </border>
    <border>
      <left/>
      <right style="thin">
        <color theme="0"/>
      </right>
      <top style="thin">
        <color theme="0"/>
      </top>
      <bottom style="thin">
        <color rgb="FF00B0F0"/>
      </bottom>
      <diagonal/>
    </border>
    <border>
      <left/>
      <right/>
      <top style="thin">
        <color rgb="FFB3D9FF"/>
      </top>
      <bottom style="thin">
        <color rgb="FF00B0F0"/>
      </bottom>
      <diagonal/>
    </border>
    <border>
      <left/>
      <right/>
      <top style="thin">
        <color rgb="FF00B0F0"/>
      </top>
      <bottom/>
      <diagonal/>
    </border>
  </borders>
  <cellStyleXfs count="4">
    <xf numFmtId="0" fontId="0" fillId="0" borderId="0"/>
    <xf numFmtId="0" fontId="5" fillId="0" borderId="0"/>
    <xf numFmtId="167" fontId="5" fillId="0" borderId="0" applyFont="0" applyFill="0" applyBorder="0" applyAlignment="0" applyProtection="0"/>
    <xf numFmtId="0" fontId="16" fillId="0" borderId="0"/>
  </cellStyleXfs>
  <cellXfs count="48">
    <xf numFmtId="0" fontId="0" fillId="0" borderId="0" xfId="0"/>
    <xf numFmtId="0" fontId="2" fillId="0" borderId="1" xfId="0" applyFont="1" applyBorder="1" applyAlignment="1">
      <alignment vertical="center" wrapText="1"/>
    </xf>
    <xf numFmtId="0" fontId="3" fillId="0" borderId="3" xfId="0" applyFont="1" applyBorder="1" applyAlignment="1">
      <alignment horizontal="center" vertical="top"/>
    </xf>
    <xf numFmtId="0" fontId="3" fillId="0" borderId="2" xfId="0" applyFont="1" applyBorder="1" applyAlignment="1">
      <alignment horizontal="center" vertical="top"/>
    </xf>
    <xf numFmtId="0" fontId="2" fillId="0" borderId="6" xfId="0" applyFont="1" applyBorder="1" applyAlignment="1">
      <alignment vertical="center" wrapText="1"/>
    </xf>
    <xf numFmtId="0" fontId="4" fillId="0" borderId="2" xfId="0" applyFont="1" applyBorder="1" applyAlignment="1">
      <alignment horizontal="center" vertical="top"/>
    </xf>
    <xf numFmtId="0" fontId="6" fillId="0" borderId="0" xfId="1" applyFont="1" applyAlignment="1">
      <alignment vertical="center"/>
    </xf>
    <xf numFmtId="0" fontId="7" fillId="0" borderId="0" xfId="1" applyFont="1"/>
    <xf numFmtId="0" fontId="8" fillId="0" borderId="0" xfId="1" applyFont="1"/>
    <xf numFmtId="2" fontId="5" fillId="0" borderId="0" xfId="1" applyNumberFormat="1"/>
    <xf numFmtId="0" fontId="6" fillId="0" borderId="0" xfId="1" applyFont="1" applyAlignment="1">
      <alignment horizontal="center" vertical="center"/>
    </xf>
    <xf numFmtId="0" fontId="6" fillId="0" borderId="7" xfId="1" applyFont="1" applyBorder="1" applyAlignment="1">
      <alignment horizontal="center" vertical="center"/>
    </xf>
    <xf numFmtId="0" fontId="1" fillId="3" borderId="1" xfId="0" applyFont="1" applyFill="1" applyBorder="1" applyAlignment="1">
      <alignment horizontal="center" vertical="center" wrapText="1"/>
    </xf>
    <xf numFmtId="0" fontId="0" fillId="3" borderId="0" xfId="0" applyFill="1"/>
    <xf numFmtId="0" fontId="2" fillId="3" borderId="1" xfId="0" applyFont="1" applyFill="1" applyBorder="1" applyAlignment="1">
      <alignment vertical="center" wrapText="1"/>
    </xf>
    <xf numFmtId="0" fontId="4" fillId="3" borderId="2" xfId="0" applyFont="1" applyFill="1" applyBorder="1" applyAlignment="1">
      <alignment horizontal="center" vertical="top"/>
    </xf>
    <xf numFmtId="0" fontId="2" fillId="3" borderId="6" xfId="0" applyFont="1" applyFill="1" applyBorder="1" applyAlignment="1">
      <alignment vertical="center" wrapText="1"/>
    </xf>
    <xf numFmtId="0" fontId="9" fillId="0" borderId="0" xfId="0" applyFont="1"/>
    <xf numFmtId="167" fontId="12" fillId="0" borderId="0" xfId="2" applyFont="1"/>
    <xf numFmtId="0" fontId="12" fillId="0" borderId="0" xfId="3" applyFont="1"/>
    <xf numFmtId="0" fontId="13" fillId="0" borderId="0" xfId="3" applyFont="1"/>
    <xf numFmtId="0" fontId="14" fillId="0" borderId="0" xfId="3" applyFont="1"/>
    <xf numFmtId="0" fontId="15" fillId="0" borderId="0" xfId="3" applyFont="1"/>
    <xf numFmtId="164" fontId="6" fillId="0" borderId="0" xfId="1" applyNumberFormat="1" applyFont="1" applyAlignment="1" applyProtection="1">
      <alignment horizontal="right" vertical="center"/>
      <protection locked="0"/>
    </xf>
    <xf numFmtId="0" fontId="6" fillId="0" borderId="8" xfId="1" applyFont="1" applyBorder="1" applyAlignment="1">
      <alignment vertical="center"/>
    </xf>
    <xf numFmtId="0" fontId="6" fillId="0" borderId="9" xfId="1" applyFont="1" applyBorder="1" applyAlignment="1">
      <alignment vertical="center"/>
    </xf>
    <xf numFmtId="164" fontId="6" fillId="0" borderId="9" xfId="1" applyNumberFormat="1" applyFont="1" applyBorder="1" applyAlignment="1" applyProtection="1">
      <alignment horizontal="right" vertical="center"/>
      <protection locked="0"/>
    </xf>
    <xf numFmtId="0" fontId="6" fillId="0" borderId="10" xfId="1" applyFont="1" applyBorder="1" applyAlignment="1">
      <alignment vertical="center"/>
    </xf>
    <xf numFmtId="164" fontId="6" fillId="0" borderId="10" xfId="1" applyNumberFormat="1" applyFont="1" applyBorder="1" applyAlignment="1" applyProtection="1">
      <alignment horizontal="right" vertical="center"/>
      <protection locked="0"/>
    </xf>
    <xf numFmtId="0" fontId="6" fillId="0" borderId="11" xfId="0" applyFont="1" applyBorder="1" applyAlignment="1">
      <alignment vertical="center"/>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1" applyFont="1" applyBorder="1" applyAlignment="1">
      <alignment vertical="center"/>
    </xf>
    <xf numFmtId="166" fontId="6" fillId="0" borderId="14" xfId="1" applyNumberFormat="1" applyFont="1" applyBorder="1" applyAlignment="1" applyProtection="1">
      <alignment horizontal="right" vertical="center"/>
      <protection locked="0"/>
    </xf>
    <xf numFmtId="164" fontId="6" fillId="0" borderId="14" xfId="1" applyNumberFormat="1" applyFont="1" applyBorder="1" applyAlignment="1" applyProtection="1">
      <alignment horizontal="right" vertical="center"/>
      <protection locked="0"/>
    </xf>
    <xf numFmtId="0" fontId="7" fillId="0" borderId="15" xfId="1" applyFont="1" applyBorder="1"/>
    <xf numFmtId="2" fontId="5" fillId="0" borderId="15" xfId="1" applyNumberFormat="1" applyBorder="1"/>
    <xf numFmtId="165" fontId="6" fillId="0" borderId="9" xfId="1" applyNumberFormat="1" applyFont="1" applyBorder="1" applyAlignment="1" applyProtection="1">
      <alignment horizontal="right" vertical="center"/>
      <protection locked="0"/>
    </xf>
    <xf numFmtId="165" fontId="6" fillId="0" borderId="10" xfId="1" applyNumberFormat="1" applyFont="1" applyBorder="1" applyAlignment="1" applyProtection="1">
      <alignment horizontal="right" vertical="center"/>
      <protection locked="0"/>
    </xf>
    <xf numFmtId="0" fontId="6" fillId="0" borderId="11" xfId="1" applyFont="1" applyBorder="1" applyAlignment="1">
      <alignment vertical="center"/>
    </xf>
    <xf numFmtId="0" fontId="6" fillId="0" borderId="11" xfId="1" applyFont="1" applyBorder="1" applyAlignment="1">
      <alignment horizontal="center" vertical="center" wrapText="1"/>
    </xf>
    <xf numFmtId="165" fontId="6" fillId="0" borderId="14" xfId="1" applyNumberFormat="1" applyFont="1" applyBorder="1" applyAlignment="1" applyProtection="1">
      <alignment horizontal="right" vertical="center"/>
      <protection locked="0"/>
    </xf>
    <xf numFmtId="0" fontId="6" fillId="0" borderId="0" xfId="1" applyFont="1" applyAlignment="1">
      <alignment horizontal="center" vertical="center"/>
    </xf>
    <xf numFmtId="0" fontId="6" fillId="0" borderId="7" xfId="1" applyFont="1" applyBorder="1" applyAlignment="1">
      <alignment horizontal="center"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4">
    <cellStyle name="Euro" xfId="2" xr:uid="{815035CC-C15D-47D2-9CC7-D4EDBA3C9DD0}"/>
    <cellStyle name="Normal" xfId="0" builtinId="0"/>
    <cellStyle name="Normal 2" xfId="1" xr:uid="{F475D01E-50DF-48A7-B62C-A58A38E6DF18}"/>
    <cellStyle name="Normal 3" xfId="3" xr:uid="{695DC2FD-BBC3-4CFF-BDA1-F2D2A73AB259}"/>
  </cellStyles>
  <dxfs count="0"/>
  <tableStyles count="0" defaultTableStyle="TableStyleMedium2" defaultPivotStyle="PivotStyleLight16"/>
  <colors>
    <mruColors>
      <color rgb="FFB3D9FF"/>
      <color rgb="FFF2CED2"/>
      <color rgb="FFC00000"/>
      <color rgb="FF7F7F7F"/>
      <color rgb="FFA6A6A6"/>
      <color rgb="FF7DB7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835093784008707E-2"/>
          <c:y val="0.12230804699848168"/>
          <c:w val="0.61694411336246846"/>
          <c:h val="0.71567763706955989"/>
        </c:manualLayout>
      </c:layout>
      <c:barChart>
        <c:barDir val="col"/>
        <c:grouping val="stacked"/>
        <c:varyColors val="0"/>
        <c:ser>
          <c:idx val="2"/>
          <c:order val="1"/>
          <c:tx>
            <c:v>rango</c:v>
          </c:tx>
          <c:spPr>
            <a:no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01-B6E9-4A3D-8655-27CB0649988E}"/>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03-B6E9-4A3D-8655-27CB0649988E}"/>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05-B6E9-4A3D-8655-27CB0649988E}"/>
              </c:ext>
            </c:extLst>
          </c:dPt>
          <c:dPt>
            <c:idx val="5"/>
            <c:invertIfNegative val="0"/>
            <c:bubble3D val="0"/>
            <c:spPr>
              <a:solidFill>
                <a:srgbClr val="7DB749">
                  <a:alpha val="50000"/>
                </a:srgbClr>
              </a:solidFill>
              <a:ln>
                <a:noFill/>
              </a:ln>
              <a:effectLst/>
            </c:spPr>
            <c:extLst>
              <c:ext xmlns:c16="http://schemas.microsoft.com/office/drawing/2014/chart" uri="{C3380CC4-5D6E-409C-BE32-E72D297353CC}">
                <c16:uniqueId val="{00000007-B6E9-4A3D-8655-27CB0649988E}"/>
              </c:ext>
            </c:extLst>
          </c:dPt>
          <c:dPt>
            <c:idx val="6"/>
            <c:invertIfNegative val="0"/>
            <c:bubble3D val="0"/>
            <c:spPr>
              <a:solidFill>
                <a:srgbClr val="7DB749">
                  <a:alpha val="50000"/>
                </a:srgbClr>
              </a:solidFill>
              <a:ln>
                <a:noFill/>
              </a:ln>
              <a:effectLst/>
            </c:spPr>
            <c:extLst>
              <c:ext xmlns:c16="http://schemas.microsoft.com/office/drawing/2014/chart" uri="{C3380CC4-5D6E-409C-BE32-E72D297353CC}">
                <c16:uniqueId val="{00000009-B6E9-4A3D-8655-27CB0649988E}"/>
              </c:ext>
            </c:extLst>
          </c:dPt>
          <c:dPt>
            <c:idx val="7"/>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B6E9-4A3D-8655-27CB0649988E}"/>
              </c:ext>
            </c:extLst>
          </c:dPt>
          <c:dPt>
            <c:idx val="8"/>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B6E9-4A3D-8655-27CB0649988E}"/>
              </c:ext>
            </c:extLst>
          </c:dPt>
          <c:val>
            <c:numRef>
              <c:f>'event_study (%)'!$G$2:$G$10</c:f>
              <c:numCache>
                <c:formatCode>General</c:formatCode>
                <c:ptCount val="9"/>
                <c:pt idx="0">
                  <c:v>0.25168999999999997</c:v>
                </c:pt>
                <c:pt idx="1">
                  <c:v>-1.7249999999999998E-2</c:v>
                </c:pt>
                <c:pt idx="2">
                  <c:v>0.29994000000000004</c:v>
                </c:pt>
                <c:pt idx="3">
                  <c:v>-8.4820000000000007E-2</c:v>
                </c:pt>
                <c:pt idx="4">
                  <c:v>0.61063000000000001</c:v>
                </c:pt>
                <c:pt idx="5">
                  <c:v>0.94702999999999993</c:v>
                </c:pt>
                <c:pt idx="6">
                  <c:v>1.29596</c:v>
                </c:pt>
                <c:pt idx="7">
                  <c:v>0.97241</c:v>
                </c:pt>
                <c:pt idx="8">
                  <c:v>0.80782000000000009</c:v>
                </c:pt>
              </c:numCache>
            </c:numRef>
          </c:val>
          <c:extLst>
            <c:ext xmlns:c16="http://schemas.microsoft.com/office/drawing/2014/chart" uri="{C3380CC4-5D6E-409C-BE32-E72D297353CC}">
              <c16:uniqueId val="{0000000E-B6E9-4A3D-8655-27CB0649988E}"/>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7"/>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0-B6E9-4A3D-8655-27CB0649988E}"/>
              </c:ext>
            </c:extLst>
          </c:dPt>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2-B6E9-4A3D-8655-27CB0649988E}"/>
              </c:ext>
            </c:extLst>
          </c:dPt>
          <c:val>
            <c:numRef>
              <c:f>'event_study (%)'!$F$2:$F$10</c:f>
              <c:numCache>
                <c:formatCode>General</c:formatCode>
                <c:ptCount val="9"/>
                <c:pt idx="0">
                  <c:v>-1.49394</c:v>
                </c:pt>
                <c:pt idx="1">
                  <c:v>-1.6705000000000001</c:v>
                </c:pt>
                <c:pt idx="2">
                  <c:v>-1.37216</c:v>
                </c:pt>
                <c:pt idx="3">
                  <c:v>-1.6935100000000001</c:v>
                </c:pt>
                <c:pt idx="4">
                  <c:v>-1.0283100000000001</c:v>
                </c:pt>
                <c:pt idx="5">
                  <c:v>-1.19597</c:v>
                </c:pt>
                <c:pt idx="6">
                  <c:v>-0.40872000000000003</c:v>
                </c:pt>
                <c:pt idx="7">
                  <c:v>1.71035</c:v>
                </c:pt>
                <c:pt idx="8">
                  <c:v>2.0263299999999997</c:v>
                </c:pt>
              </c:numCache>
            </c:numRef>
          </c:val>
          <c:extLst>
            <c:ext xmlns:c16="http://schemas.microsoft.com/office/drawing/2014/chart" uri="{C3380CC4-5D6E-409C-BE32-E72D297353CC}">
              <c16:uniqueId val="{00000013-B6E9-4A3D-8655-27CB0649988E}"/>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4-B6E9-4A3D-8655-27CB0649988E}"/>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5-B6E9-4A3D-8655-27CB0649988E}"/>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6-B6E9-4A3D-8655-27CB0649988E}"/>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7-B6E9-4A3D-8655-27CB0649988E}"/>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8-B6E9-4A3D-8655-27CB0649988E}"/>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9-B6E9-4A3D-8655-27CB0649988E}"/>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A-B6E9-4A3D-8655-27CB0649988E}"/>
              </c:ext>
            </c:extLst>
          </c:dPt>
          <c:dPt>
            <c:idx val="7"/>
            <c:marker>
              <c:symbol val="diamond"/>
              <c:size val="8"/>
              <c:spPr>
                <a:solidFill>
                  <a:srgbClr val="FFC000"/>
                </a:solidFill>
                <a:ln w="25400">
                  <a:solidFill>
                    <a:srgbClr val="FFC000"/>
                  </a:solidFill>
                </a:ln>
                <a:effectLst/>
              </c:spPr>
            </c:marker>
            <c:bubble3D val="0"/>
            <c:extLst>
              <c:ext xmlns:c16="http://schemas.microsoft.com/office/drawing/2014/chart" uri="{C3380CC4-5D6E-409C-BE32-E72D297353CC}">
                <c16:uniqueId val="{0000001B-B6E9-4A3D-8655-27CB0649988E}"/>
              </c:ext>
            </c:extLst>
          </c:dPt>
          <c:dPt>
            <c:idx val="8"/>
            <c:marker>
              <c:symbol val="diamond"/>
              <c:size val="8"/>
              <c:spPr>
                <a:solidFill>
                  <a:srgbClr val="FFC000"/>
                </a:solidFill>
                <a:ln w="25400">
                  <a:solidFill>
                    <a:srgbClr val="FFC000"/>
                  </a:solidFill>
                </a:ln>
                <a:effectLst/>
              </c:spPr>
            </c:marker>
            <c:bubble3D val="0"/>
            <c:extLst>
              <c:ext xmlns:c16="http://schemas.microsoft.com/office/drawing/2014/chart" uri="{C3380CC4-5D6E-409C-BE32-E72D297353CC}">
                <c16:uniqueId val="{0000001C-B6E9-4A3D-8655-27CB0649988E}"/>
              </c:ext>
            </c:extLst>
          </c:dPt>
          <c:cat>
            <c:numRef>
              <c:f>'event_study (%)'!$A$2:$A$10</c:f>
              <c:numCache>
                <c:formatCode>General</c:formatCode>
                <c:ptCount val="9"/>
                <c:pt idx="0">
                  <c:v>-8</c:v>
                </c:pt>
                <c:pt idx="1">
                  <c:v>-7</c:v>
                </c:pt>
                <c:pt idx="2">
                  <c:v>-6</c:v>
                </c:pt>
                <c:pt idx="3">
                  <c:v>-5</c:v>
                </c:pt>
                <c:pt idx="4">
                  <c:v>-4</c:v>
                </c:pt>
                <c:pt idx="5">
                  <c:v>-3</c:v>
                </c:pt>
                <c:pt idx="6">
                  <c:v>-2</c:v>
                </c:pt>
                <c:pt idx="7">
                  <c:v>0</c:v>
                </c:pt>
                <c:pt idx="8">
                  <c:v>1</c:v>
                </c:pt>
              </c:numCache>
            </c:numRef>
          </c:cat>
          <c:val>
            <c:numRef>
              <c:f>'event_study (%)'!$B$2:$B$10</c:f>
              <c:numCache>
                <c:formatCode>General</c:formatCode>
                <c:ptCount val="9"/>
                <c:pt idx="0">
                  <c:v>-0.62113000000000007</c:v>
                </c:pt>
                <c:pt idx="1">
                  <c:v>-0.84387000000000001</c:v>
                </c:pt>
                <c:pt idx="2">
                  <c:v>-0.53610999999999998</c:v>
                </c:pt>
                <c:pt idx="3">
                  <c:v>-0.88915999999999995</c:v>
                </c:pt>
                <c:pt idx="4">
                  <c:v>-0.20883999999999997</c:v>
                </c:pt>
                <c:pt idx="5">
                  <c:v>-0.12447000000000001</c:v>
                </c:pt>
                <c:pt idx="6">
                  <c:v>0.44362000000000001</c:v>
                </c:pt>
                <c:pt idx="7">
                  <c:v>1.82759</c:v>
                </c:pt>
                <c:pt idx="8">
                  <c:v>1.8209800000000003</c:v>
                </c:pt>
              </c:numCache>
            </c:numRef>
          </c:val>
          <c:smooth val="0"/>
          <c:extLst>
            <c:ext xmlns:c16="http://schemas.microsoft.com/office/drawing/2014/chart" uri="{C3380CC4-5D6E-409C-BE32-E72D297353CC}">
              <c16:uniqueId val="{0000001D-B6E9-4A3D-8655-27CB0649988E}"/>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r>
                  <a:rPr lang="en-US" sz="700">
                    <a:latin typeface="Roboto" panose="02000000000000000000" pitchFamily="2" charset="0"/>
                  </a:rPr>
                  <a:t>Años desde la</a:t>
                </a:r>
                <a:r>
                  <a:rPr lang="en-US" sz="700" baseline="0">
                    <a:latin typeface="Roboto" panose="02000000000000000000" pitchFamily="2" charset="0"/>
                  </a:rPr>
                  <a:t> concesión</a:t>
                </a:r>
                <a:endParaRPr lang="en-US" sz="700">
                  <a:latin typeface="Roboto" panose="02000000000000000000" pitchFamily="2" charset="0"/>
                </a:endParaRPr>
              </a:p>
            </c:rich>
          </c:tx>
          <c:layout>
            <c:manualLayout>
              <c:xMode val="edge"/>
              <c:yMode val="edge"/>
              <c:x val="0.49050622434114688"/>
              <c:y val="0.93530573304934328"/>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max val="3"/>
        </c:scaling>
        <c:delete val="0"/>
        <c:axPos val="l"/>
        <c:majorGridlines>
          <c:spPr>
            <a:ln w="3810" cap="flat" cmpd="sng" algn="ctr">
              <a:solidFill>
                <a:srgbClr val="A6A6A6"/>
              </a:solidFill>
              <a:prstDash val="solid"/>
              <a:round/>
            </a:ln>
            <a:effectLst/>
          </c:spPr>
        </c:majorGridlines>
        <c:title>
          <c:tx>
            <c:rich>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r>
                  <a:rPr lang="en-US" sz="700">
                    <a:latin typeface="Roboto" panose="02000000000000000000" pitchFamily="2" charset="0"/>
                    <a:ea typeface="Roboto" panose="02000000000000000000" pitchFamily="2" charset="0"/>
                  </a:rPr>
                  <a:t>%</a:t>
                </a:r>
              </a:p>
            </c:rich>
          </c:tx>
          <c:layout>
            <c:manualLayout>
              <c:xMode val="edge"/>
              <c:yMode val="edge"/>
              <c:x val="5.5181819734572223E-2"/>
              <c:y val="5.3798759026089479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endParaRPr lang="en-US"/>
            </a:p>
          </c:txPr>
        </c:title>
        <c:numFmt formatCode="#,##0" sourceLinked="0"/>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799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321602131852282E-2"/>
          <c:y val="0.12232669655347028"/>
          <c:w val="0.91242741395273408"/>
          <c:h val="0.6650988496903445"/>
        </c:manualLayout>
      </c:layout>
      <c:barChart>
        <c:barDir val="col"/>
        <c:grouping val="stacked"/>
        <c:varyColors val="0"/>
        <c:ser>
          <c:idx val="2"/>
          <c:order val="1"/>
          <c:tx>
            <c:v>rango</c:v>
          </c:tx>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invertIfNegative val="0"/>
          <c:dPt>
            <c:idx val="0"/>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A6D4-42A5-AFAC-00EEBE9085EC}"/>
              </c:ext>
            </c:extLst>
          </c:dPt>
          <c:dPt>
            <c:idx val="2"/>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A6D4-42A5-AFAC-00EEBE9085EC}"/>
              </c:ext>
            </c:extLst>
          </c:dPt>
          <c:dPt>
            <c:idx val="3"/>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A6D4-42A5-AFAC-00EEBE9085EC}"/>
              </c:ext>
            </c:extLst>
          </c:dPt>
          <c:dPt>
            <c:idx val="4"/>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A6D4-42A5-AFAC-00EEBE9085EC}"/>
              </c:ext>
            </c:extLst>
          </c:dPt>
          <c:dPt>
            <c:idx val="5"/>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A6D4-42A5-AFAC-00EEBE9085EC}"/>
              </c:ext>
            </c:extLst>
          </c:dPt>
          <c:dPt>
            <c:idx val="6"/>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A6D4-42A5-AFAC-00EEBE9085EC}"/>
              </c:ext>
            </c:extLst>
          </c:dPt>
          <c:dPt>
            <c:idx val="8"/>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A6D4-42A5-AFAC-00EEBE9085EC}"/>
              </c:ext>
            </c:extLst>
          </c:dPt>
          <c:dPt>
            <c:idx val="9"/>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A6D4-42A5-AFAC-00EEBE9085EC}"/>
              </c:ext>
            </c:extLst>
          </c:dPt>
          <c:val>
            <c:numRef>
              <c:f>'results_CS (%)'!$G$4:$G$13</c:f>
              <c:numCache>
                <c:formatCode>General</c:formatCode>
                <c:ptCount val="10"/>
                <c:pt idx="0">
                  <c:v>0.90405999999999997</c:v>
                </c:pt>
                <c:pt idx="1">
                  <c:v>0.48634000000000005</c:v>
                </c:pt>
                <c:pt idx="2">
                  <c:v>0.85380999999999996</c:v>
                </c:pt>
                <c:pt idx="3">
                  <c:v>0.20741000000000001</c:v>
                </c:pt>
                <c:pt idx="4">
                  <c:v>1.2316499999999999</c:v>
                </c:pt>
                <c:pt idx="5">
                  <c:v>1.42079</c:v>
                </c:pt>
                <c:pt idx="6">
                  <c:v>1.8782199999999998</c:v>
                </c:pt>
                <c:pt idx="7">
                  <c:v>1.4727600000000001</c:v>
                </c:pt>
                <c:pt idx="8">
                  <c:v>0.27465000000000001</c:v>
                </c:pt>
                <c:pt idx="9">
                  <c:v>0.12673000000000001</c:v>
                </c:pt>
              </c:numCache>
            </c:numRef>
          </c:val>
          <c:extLst>
            <c:ext xmlns:c16="http://schemas.microsoft.com/office/drawing/2014/chart" uri="{C3380CC4-5D6E-409C-BE32-E72D297353CC}">
              <c16:uniqueId val="{00000010-A6D4-42A5-AFAC-00EEBE9085EC}"/>
            </c:ext>
          </c:extLst>
        </c:ser>
        <c:ser>
          <c:idx val="1"/>
          <c:order val="2"/>
          <c:tx>
            <c:v>min</c:v>
          </c:tx>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invertIfNegative val="0"/>
          <c:dPt>
            <c:idx val="8"/>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2-A6D4-42A5-AFAC-00EEBE9085EC}"/>
              </c:ext>
            </c:extLst>
          </c:dPt>
          <c:dPt>
            <c:idx val="9"/>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4-A6D4-42A5-AFAC-00EEBE9085EC}"/>
              </c:ext>
            </c:extLst>
          </c:dPt>
          <c:val>
            <c:numRef>
              <c:f>'results_CS (%)'!$F$4:$F$13</c:f>
              <c:numCache>
                <c:formatCode>General</c:formatCode>
                <c:ptCount val="10"/>
                <c:pt idx="0">
                  <c:v>-0.90366999999999997</c:v>
                </c:pt>
                <c:pt idx="1">
                  <c:v>-1.18977</c:v>
                </c:pt>
                <c:pt idx="2">
                  <c:v>-0.68784000000000001</c:v>
                </c:pt>
                <c:pt idx="3">
                  <c:v>-1.3053399999999999</c:v>
                </c:pt>
                <c:pt idx="4">
                  <c:v>-0.28936000000000001</c:v>
                </c:pt>
                <c:pt idx="5">
                  <c:v>-0.69854000000000005</c:v>
                </c:pt>
                <c:pt idx="6">
                  <c:v>-0.28392000000000001</c:v>
                </c:pt>
                <c:pt idx="7">
                  <c:v>-0.25642999999999999</c:v>
                </c:pt>
                <c:pt idx="8">
                  <c:v>1.9533700000000001</c:v>
                </c:pt>
                <c:pt idx="9">
                  <c:v>2.2897399999999997</c:v>
                </c:pt>
              </c:numCache>
            </c:numRef>
          </c:val>
          <c:extLst>
            <c:ext xmlns:c16="http://schemas.microsoft.com/office/drawing/2014/chart" uri="{C3380CC4-5D6E-409C-BE32-E72D297353CC}">
              <c16:uniqueId val="{00000015-A6D4-42A5-AFAC-00EEBE9085EC}"/>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5"/>
            <c:spPr>
              <a:solidFill>
                <a:schemeClr val="tx1"/>
              </a:solidFill>
              <a:ln w="28575">
                <a:noFill/>
                <a:prstDash val="solid"/>
              </a:ln>
              <a:effectLst/>
            </c:spPr>
          </c:marker>
          <c:dPt>
            <c:idx val="0"/>
            <c:marker>
              <c:symbol val="diamond"/>
              <c:size val="5"/>
              <c:spPr>
                <a:solidFill>
                  <a:schemeClr val="tx1"/>
                </a:solidFill>
                <a:ln w="25400">
                  <a:noFill/>
                </a:ln>
                <a:effectLst/>
              </c:spPr>
            </c:marker>
            <c:bubble3D val="0"/>
            <c:extLst>
              <c:ext xmlns:c16="http://schemas.microsoft.com/office/drawing/2014/chart" uri="{C3380CC4-5D6E-409C-BE32-E72D297353CC}">
                <c16:uniqueId val="{00000016-A6D4-42A5-AFAC-00EEBE9085EC}"/>
              </c:ext>
            </c:extLst>
          </c:dPt>
          <c:dPt>
            <c:idx val="1"/>
            <c:marker>
              <c:symbol val="diamond"/>
              <c:size val="5"/>
              <c:spPr>
                <a:solidFill>
                  <a:schemeClr val="tx1"/>
                </a:solidFill>
                <a:ln w="25400">
                  <a:noFill/>
                </a:ln>
                <a:effectLst/>
              </c:spPr>
            </c:marker>
            <c:bubble3D val="0"/>
            <c:extLst>
              <c:ext xmlns:c16="http://schemas.microsoft.com/office/drawing/2014/chart" uri="{C3380CC4-5D6E-409C-BE32-E72D297353CC}">
                <c16:uniqueId val="{00000017-A6D4-42A5-AFAC-00EEBE9085EC}"/>
              </c:ext>
            </c:extLst>
          </c:dPt>
          <c:dPt>
            <c:idx val="2"/>
            <c:marker>
              <c:symbol val="diamond"/>
              <c:size val="5"/>
              <c:spPr>
                <a:solidFill>
                  <a:schemeClr val="tx1"/>
                </a:solidFill>
                <a:ln w="25400">
                  <a:noFill/>
                </a:ln>
                <a:effectLst/>
              </c:spPr>
            </c:marker>
            <c:bubble3D val="0"/>
            <c:extLst>
              <c:ext xmlns:c16="http://schemas.microsoft.com/office/drawing/2014/chart" uri="{C3380CC4-5D6E-409C-BE32-E72D297353CC}">
                <c16:uniqueId val="{00000018-A6D4-42A5-AFAC-00EEBE9085EC}"/>
              </c:ext>
            </c:extLst>
          </c:dPt>
          <c:dPt>
            <c:idx val="3"/>
            <c:marker>
              <c:symbol val="diamond"/>
              <c:size val="5"/>
              <c:spPr>
                <a:solidFill>
                  <a:schemeClr val="tx1"/>
                </a:solidFill>
                <a:ln w="25400">
                  <a:noFill/>
                </a:ln>
                <a:effectLst/>
              </c:spPr>
            </c:marker>
            <c:bubble3D val="0"/>
            <c:extLst>
              <c:ext xmlns:c16="http://schemas.microsoft.com/office/drawing/2014/chart" uri="{C3380CC4-5D6E-409C-BE32-E72D297353CC}">
                <c16:uniqueId val="{00000019-A6D4-42A5-AFAC-00EEBE9085EC}"/>
              </c:ext>
            </c:extLst>
          </c:dPt>
          <c:dPt>
            <c:idx val="4"/>
            <c:marker>
              <c:symbol val="diamond"/>
              <c:size val="5"/>
              <c:spPr>
                <a:solidFill>
                  <a:schemeClr val="tx1"/>
                </a:solidFill>
                <a:ln w="25400">
                  <a:noFill/>
                </a:ln>
                <a:effectLst/>
              </c:spPr>
            </c:marker>
            <c:bubble3D val="0"/>
            <c:extLst>
              <c:ext xmlns:c16="http://schemas.microsoft.com/office/drawing/2014/chart" uri="{C3380CC4-5D6E-409C-BE32-E72D297353CC}">
                <c16:uniqueId val="{0000001A-A6D4-42A5-AFAC-00EEBE9085EC}"/>
              </c:ext>
            </c:extLst>
          </c:dPt>
          <c:dPt>
            <c:idx val="5"/>
            <c:marker>
              <c:symbol val="diamond"/>
              <c:size val="5"/>
              <c:spPr>
                <a:solidFill>
                  <a:schemeClr val="tx1"/>
                </a:solidFill>
                <a:ln w="25400">
                  <a:noFill/>
                </a:ln>
                <a:effectLst/>
              </c:spPr>
            </c:marker>
            <c:bubble3D val="0"/>
            <c:extLst>
              <c:ext xmlns:c16="http://schemas.microsoft.com/office/drawing/2014/chart" uri="{C3380CC4-5D6E-409C-BE32-E72D297353CC}">
                <c16:uniqueId val="{0000001B-A6D4-42A5-AFAC-00EEBE9085EC}"/>
              </c:ext>
            </c:extLst>
          </c:dPt>
          <c:dPt>
            <c:idx val="6"/>
            <c:marker>
              <c:symbol val="diamond"/>
              <c:size val="5"/>
              <c:spPr>
                <a:solidFill>
                  <a:schemeClr val="tx1"/>
                </a:solidFill>
                <a:ln w="25400">
                  <a:noFill/>
                </a:ln>
                <a:effectLst/>
              </c:spPr>
            </c:marker>
            <c:bubble3D val="0"/>
            <c:extLst>
              <c:ext xmlns:c16="http://schemas.microsoft.com/office/drawing/2014/chart" uri="{C3380CC4-5D6E-409C-BE32-E72D297353CC}">
                <c16:uniqueId val="{0000001C-A6D4-42A5-AFAC-00EEBE9085EC}"/>
              </c:ext>
            </c:extLst>
          </c:dPt>
          <c:dPt>
            <c:idx val="8"/>
            <c:marker>
              <c:symbol val="diamond"/>
              <c:size val="5"/>
              <c:spPr>
                <a:solidFill>
                  <a:schemeClr val="tx1"/>
                </a:solidFill>
                <a:ln w="28575">
                  <a:noFill/>
                  <a:prstDash val="solid"/>
                </a:ln>
                <a:effectLst/>
              </c:spPr>
            </c:marker>
            <c:bubble3D val="0"/>
            <c:extLst>
              <c:ext xmlns:c16="http://schemas.microsoft.com/office/drawing/2014/chart" uri="{C3380CC4-5D6E-409C-BE32-E72D297353CC}">
                <c16:uniqueId val="{0000001D-A6D4-42A5-AFAC-00EEBE9085EC}"/>
              </c:ext>
            </c:extLst>
          </c:dPt>
          <c:dPt>
            <c:idx val="9"/>
            <c:marker>
              <c:symbol val="diamond"/>
              <c:size val="5"/>
              <c:spPr>
                <a:solidFill>
                  <a:schemeClr val="tx1"/>
                </a:solidFill>
                <a:ln w="28575">
                  <a:noFill/>
                  <a:prstDash val="solid"/>
                </a:ln>
                <a:effectLst/>
              </c:spPr>
            </c:marker>
            <c:bubble3D val="0"/>
            <c:extLst>
              <c:ext xmlns:c16="http://schemas.microsoft.com/office/drawing/2014/chart" uri="{C3380CC4-5D6E-409C-BE32-E72D297353CC}">
                <c16:uniqueId val="{0000001E-A6D4-42A5-AFAC-00EEBE9085EC}"/>
              </c:ext>
            </c:extLst>
          </c:dPt>
          <c:cat>
            <c:numRef>
              <c:f>'results_CS (%)'!$A$4:$A$13</c:f>
              <c:numCache>
                <c:formatCode>General</c:formatCode>
                <c:ptCount val="10"/>
                <c:pt idx="0">
                  <c:v>-8</c:v>
                </c:pt>
                <c:pt idx="1">
                  <c:v>-7</c:v>
                </c:pt>
                <c:pt idx="2">
                  <c:v>-6</c:v>
                </c:pt>
                <c:pt idx="3">
                  <c:v>-5</c:v>
                </c:pt>
                <c:pt idx="4">
                  <c:v>-4</c:v>
                </c:pt>
                <c:pt idx="5">
                  <c:v>-3</c:v>
                </c:pt>
                <c:pt idx="6">
                  <c:v>-2</c:v>
                </c:pt>
                <c:pt idx="7">
                  <c:v>-1</c:v>
                </c:pt>
                <c:pt idx="8">
                  <c:v>0</c:v>
                </c:pt>
                <c:pt idx="9">
                  <c:v>1</c:v>
                </c:pt>
              </c:numCache>
            </c:numRef>
          </c:cat>
          <c:val>
            <c:numRef>
              <c:f>'results_CS (%)'!$B$4:$B$13</c:f>
              <c:numCache>
                <c:formatCode>General</c:formatCode>
                <c:ptCount val="10"/>
                <c:pt idx="0">
                  <c:v>1.9700000000000002E-4</c:v>
                </c:pt>
                <c:pt idx="1">
                  <c:v>-0.35171000000000002</c:v>
                </c:pt>
                <c:pt idx="2">
                  <c:v>8.2979999999999998E-2</c:v>
                </c:pt>
                <c:pt idx="3">
                  <c:v>-0.54896999999999996</c:v>
                </c:pt>
                <c:pt idx="4">
                  <c:v>0.47115000000000007</c:v>
                </c:pt>
                <c:pt idx="5">
                  <c:v>0.36113000000000001</c:v>
                </c:pt>
                <c:pt idx="6">
                  <c:v>0.79714999999999991</c:v>
                </c:pt>
                <c:pt idx="7">
                  <c:v>0.60816000000000003</c:v>
                </c:pt>
                <c:pt idx="8">
                  <c:v>1.1140099999999999</c:v>
                </c:pt>
                <c:pt idx="9">
                  <c:v>1.2082300000000001</c:v>
                </c:pt>
              </c:numCache>
            </c:numRef>
          </c:val>
          <c:smooth val="0"/>
          <c:extLst>
            <c:ext xmlns:c16="http://schemas.microsoft.com/office/drawing/2014/chart" uri="{C3380CC4-5D6E-409C-BE32-E72D297353CC}">
              <c16:uniqueId val="{0000001F-A6D4-42A5-AFAC-00EEBE9085EC}"/>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r>
                  <a:rPr lang="en-US" sz="700">
                    <a:latin typeface="Roboto" panose="02000000000000000000" pitchFamily="2" charset="0"/>
                  </a:rPr>
                  <a:t>Años desde la</a:t>
                </a:r>
                <a:r>
                  <a:rPr lang="en-US" sz="700" baseline="0">
                    <a:latin typeface="Roboto" panose="02000000000000000000" pitchFamily="2" charset="0"/>
                  </a:rPr>
                  <a:t> concesión</a:t>
                </a:r>
                <a:endParaRPr lang="en-US" sz="700">
                  <a:latin typeface="Roboto" panose="02000000000000000000" pitchFamily="2" charset="0"/>
                </a:endParaRPr>
              </a:p>
            </c:rich>
          </c:tx>
          <c:layout>
            <c:manualLayout>
              <c:xMode val="edge"/>
              <c:yMode val="edge"/>
              <c:x val="0.64541123024738478"/>
              <c:y val="0.88499079881323472"/>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cross"/>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scaling>
        <c:delete val="0"/>
        <c:axPos val="l"/>
        <c:majorGridlines>
          <c:spPr>
            <a:ln w="3810" cap="flat" cmpd="sng" algn="ctr">
              <a:solidFill>
                <a:srgbClr val="A6A6A6"/>
              </a:solidFill>
              <a:prstDash val="solid"/>
              <a:round/>
            </a:ln>
            <a:effectLst/>
          </c:spPr>
        </c:majorGridlines>
        <c:title>
          <c:tx>
            <c:rich>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r>
                  <a:rPr lang="en-US" sz="700">
                    <a:latin typeface="Roboto" panose="02000000000000000000" pitchFamily="2" charset="0"/>
                    <a:ea typeface="Roboto" panose="02000000000000000000" pitchFamily="2" charset="0"/>
                  </a:rPr>
                  <a:t>%</a:t>
                </a:r>
              </a:p>
            </c:rich>
          </c:tx>
          <c:layout>
            <c:manualLayout>
              <c:xMode val="edge"/>
              <c:yMode val="edge"/>
              <c:x val="5.3193117820850039E-2"/>
              <c:y val="5.4570548691178125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endParaRPr lang="en-US"/>
            </a:p>
          </c:txPr>
        </c:title>
        <c:numFmt formatCode="#,##0" sourceLinked="0"/>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7999"/>
        <c:crosses val="autoZero"/>
        <c:crossBetween val="between"/>
        <c:majorUnit val="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028670330721894E-2"/>
          <c:y val="0.15565190972222223"/>
          <c:w val="0.89557005851766314"/>
          <c:h val="0.67479987274771369"/>
        </c:manualLayout>
      </c:layout>
      <c:barChart>
        <c:barDir val="col"/>
        <c:grouping val="stacked"/>
        <c:varyColors val="0"/>
        <c:ser>
          <c:idx val="2"/>
          <c:order val="1"/>
          <c:tx>
            <c:v>rango</c:v>
          </c:tx>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invertIfNegative val="0"/>
          <c:dPt>
            <c:idx val="0"/>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F954-490E-AA96-F29D2E7AFEF3}"/>
              </c:ext>
            </c:extLst>
          </c:dPt>
          <c:dPt>
            <c:idx val="2"/>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F954-490E-AA96-F29D2E7AFEF3}"/>
              </c:ext>
            </c:extLst>
          </c:dPt>
          <c:dPt>
            <c:idx val="3"/>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F954-490E-AA96-F29D2E7AFEF3}"/>
              </c:ext>
            </c:extLst>
          </c:dPt>
          <c:dPt>
            <c:idx val="4"/>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F954-490E-AA96-F29D2E7AFEF3}"/>
              </c:ext>
            </c:extLst>
          </c:dPt>
          <c:dPt>
            <c:idx val="5"/>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F954-490E-AA96-F29D2E7AFEF3}"/>
              </c:ext>
            </c:extLst>
          </c:dPt>
          <c:dPt>
            <c:idx val="6"/>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F954-490E-AA96-F29D2E7AFEF3}"/>
              </c:ext>
            </c:extLst>
          </c:dPt>
          <c:dPt>
            <c:idx val="7"/>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F954-490E-AA96-F29D2E7AFEF3}"/>
              </c:ext>
            </c:extLst>
          </c:dPt>
          <c:dPt>
            <c:idx val="8"/>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F954-490E-AA96-F29D2E7AFEF3}"/>
              </c:ext>
            </c:extLst>
          </c:dPt>
          <c:dPt>
            <c:idx val="9"/>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1-F954-490E-AA96-F29D2E7AFEF3}"/>
              </c:ext>
            </c:extLst>
          </c:dPt>
          <c:val>
            <c:numRef>
              <c:f>'results_intangibles (2)'!$G$4:$G$13</c:f>
              <c:numCache>
                <c:formatCode>General</c:formatCode>
                <c:ptCount val="10"/>
                <c:pt idx="0">
                  <c:v>0.44002000000000002</c:v>
                </c:pt>
                <c:pt idx="1">
                  <c:v>0.36454999999999999</c:v>
                </c:pt>
                <c:pt idx="2">
                  <c:v>0.36197000000000001</c:v>
                </c:pt>
                <c:pt idx="3">
                  <c:v>0.39440999999999998</c:v>
                </c:pt>
                <c:pt idx="4">
                  <c:v>0.16327</c:v>
                </c:pt>
                <c:pt idx="5">
                  <c:v>0.30152000000000001</c:v>
                </c:pt>
                <c:pt idx="6">
                  <c:v>0.36747999999999997</c:v>
                </c:pt>
                <c:pt idx="7">
                  <c:v>2.4199999999999999E-2</c:v>
                </c:pt>
                <c:pt idx="8">
                  <c:v>1.6343399999999999</c:v>
                </c:pt>
                <c:pt idx="9">
                  <c:v>0.96755999999999998</c:v>
                </c:pt>
              </c:numCache>
            </c:numRef>
          </c:val>
          <c:extLst>
            <c:ext xmlns:c16="http://schemas.microsoft.com/office/drawing/2014/chart" uri="{C3380CC4-5D6E-409C-BE32-E72D297353CC}">
              <c16:uniqueId val="{00000012-F954-490E-AA96-F29D2E7AFEF3}"/>
            </c:ext>
          </c:extLst>
        </c:ser>
        <c:ser>
          <c:idx val="1"/>
          <c:order val="2"/>
          <c:tx>
            <c:v>min</c:v>
          </c:tx>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invertIfNegative val="0"/>
          <c:dPt>
            <c:idx val="8"/>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4-F954-490E-AA96-F29D2E7AFEF3}"/>
              </c:ext>
            </c:extLst>
          </c:dPt>
          <c:dPt>
            <c:idx val="9"/>
            <c:invertIfNegative val="0"/>
            <c:bubble3D val="0"/>
            <c:spPr>
              <a:pattFill prst="pct90">
                <a:fgClr>
                  <a:srgbClr val="7DB749">
                    <a:lumMod val="100000"/>
                  </a:srgbClr>
                </a:fgClr>
                <a:bgClr>
                  <a:srgbClr val="FFFFFF"/>
                </a:bgClr>
              </a:patt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6-F954-490E-AA96-F29D2E7AFEF3}"/>
              </c:ext>
            </c:extLst>
          </c:dPt>
          <c:val>
            <c:numRef>
              <c:f>'results_intangibles (2)'!$F$4:$F$13</c:f>
              <c:numCache>
                <c:formatCode>General</c:formatCode>
                <c:ptCount val="10"/>
                <c:pt idx="0">
                  <c:v>-0.19789000000000001</c:v>
                </c:pt>
                <c:pt idx="1">
                  <c:v>-0.22678999999999999</c:v>
                </c:pt>
                <c:pt idx="2">
                  <c:v>-0.22423999999999999</c:v>
                </c:pt>
                <c:pt idx="3">
                  <c:v>-0.15864</c:v>
                </c:pt>
                <c:pt idx="4">
                  <c:v>-0.37824000000000002</c:v>
                </c:pt>
                <c:pt idx="5">
                  <c:v>-0.23003000000000001</c:v>
                </c:pt>
                <c:pt idx="6">
                  <c:v>-0.11815000000000001</c:v>
                </c:pt>
                <c:pt idx="7">
                  <c:v>0.58899000000000001</c:v>
                </c:pt>
                <c:pt idx="8">
                  <c:v>0.61346999999999996</c:v>
                </c:pt>
                <c:pt idx="9">
                  <c:v>0.85780999999999996</c:v>
                </c:pt>
              </c:numCache>
            </c:numRef>
          </c:val>
          <c:extLst>
            <c:ext xmlns:c16="http://schemas.microsoft.com/office/drawing/2014/chart" uri="{C3380CC4-5D6E-409C-BE32-E72D297353CC}">
              <c16:uniqueId val="{00000017-F954-490E-AA96-F29D2E7AFEF3}"/>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5"/>
            <c:spPr>
              <a:solidFill>
                <a:schemeClr val="tx1"/>
              </a:solidFill>
              <a:ln w="28575">
                <a:noFill/>
                <a:prstDash val="solid"/>
              </a:ln>
              <a:effectLst/>
            </c:spPr>
          </c:marker>
          <c:dPt>
            <c:idx val="0"/>
            <c:marker>
              <c:symbol val="diamond"/>
              <c:size val="5"/>
              <c:spPr>
                <a:solidFill>
                  <a:schemeClr val="tx1"/>
                </a:solidFill>
                <a:ln w="25400">
                  <a:noFill/>
                </a:ln>
                <a:effectLst/>
              </c:spPr>
            </c:marker>
            <c:bubble3D val="0"/>
            <c:extLst>
              <c:ext xmlns:c16="http://schemas.microsoft.com/office/drawing/2014/chart" uri="{C3380CC4-5D6E-409C-BE32-E72D297353CC}">
                <c16:uniqueId val="{00000018-F954-490E-AA96-F29D2E7AFEF3}"/>
              </c:ext>
            </c:extLst>
          </c:dPt>
          <c:dPt>
            <c:idx val="1"/>
            <c:marker>
              <c:symbol val="diamond"/>
              <c:size val="5"/>
              <c:spPr>
                <a:solidFill>
                  <a:schemeClr val="tx1"/>
                </a:solidFill>
                <a:ln w="25400">
                  <a:noFill/>
                </a:ln>
                <a:effectLst/>
              </c:spPr>
            </c:marker>
            <c:bubble3D val="0"/>
            <c:extLst>
              <c:ext xmlns:c16="http://schemas.microsoft.com/office/drawing/2014/chart" uri="{C3380CC4-5D6E-409C-BE32-E72D297353CC}">
                <c16:uniqueId val="{00000019-F954-490E-AA96-F29D2E7AFEF3}"/>
              </c:ext>
            </c:extLst>
          </c:dPt>
          <c:dPt>
            <c:idx val="2"/>
            <c:marker>
              <c:symbol val="diamond"/>
              <c:size val="5"/>
              <c:spPr>
                <a:solidFill>
                  <a:schemeClr val="tx1"/>
                </a:solidFill>
                <a:ln w="25400">
                  <a:noFill/>
                </a:ln>
                <a:effectLst/>
              </c:spPr>
            </c:marker>
            <c:bubble3D val="0"/>
            <c:extLst>
              <c:ext xmlns:c16="http://schemas.microsoft.com/office/drawing/2014/chart" uri="{C3380CC4-5D6E-409C-BE32-E72D297353CC}">
                <c16:uniqueId val="{0000001A-F954-490E-AA96-F29D2E7AFEF3}"/>
              </c:ext>
            </c:extLst>
          </c:dPt>
          <c:dPt>
            <c:idx val="3"/>
            <c:marker>
              <c:symbol val="diamond"/>
              <c:size val="5"/>
              <c:spPr>
                <a:solidFill>
                  <a:schemeClr val="tx1"/>
                </a:solidFill>
                <a:ln w="25400">
                  <a:noFill/>
                </a:ln>
                <a:effectLst/>
              </c:spPr>
            </c:marker>
            <c:bubble3D val="0"/>
            <c:extLst>
              <c:ext xmlns:c16="http://schemas.microsoft.com/office/drawing/2014/chart" uri="{C3380CC4-5D6E-409C-BE32-E72D297353CC}">
                <c16:uniqueId val="{0000001B-F954-490E-AA96-F29D2E7AFEF3}"/>
              </c:ext>
            </c:extLst>
          </c:dPt>
          <c:dPt>
            <c:idx val="4"/>
            <c:marker>
              <c:symbol val="diamond"/>
              <c:size val="5"/>
              <c:spPr>
                <a:solidFill>
                  <a:schemeClr val="tx1"/>
                </a:solidFill>
                <a:ln w="25400">
                  <a:noFill/>
                </a:ln>
                <a:effectLst/>
              </c:spPr>
            </c:marker>
            <c:bubble3D val="0"/>
            <c:extLst>
              <c:ext xmlns:c16="http://schemas.microsoft.com/office/drawing/2014/chart" uri="{C3380CC4-5D6E-409C-BE32-E72D297353CC}">
                <c16:uniqueId val="{0000001C-F954-490E-AA96-F29D2E7AFEF3}"/>
              </c:ext>
            </c:extLst>
          </c:dPt>
          <c:dPt>
            <c:idx val="5"/>
            <c:marker>
              <c:symbol val="diamond"/>
              <c:size val="5"/>
              <c:spPr>
                <a:solidFill>
                  <a:schemeClr val="tx1"/>
                </a:solidFill>
                <a:ln w="25400">
                  <a:noFill/>
                </a:ln>
                <a:effectLst/>
              </c:spPr>
            </c:marker>
            <c:bubble3D val="0"/>
            <c:extLst>
              <c:ext xmlns:c16="http://schemas.microsoft.com/office/drawing/2014/chart" uri="{C3380CC4-5D6E-409C-BE32-E72D297353CC}">
                <c16:uniqueId val="{0000001D-F954-490E-AA96-F29D2E7AFEF3}"/>
              </c:ext>
            </c:extLst>
          </c:dPt>
          <c:dPt>
            <c:idx val="6"/>
            <c:marker>
              <c:symbol val="diamond"/>
              <c:size val="5"/>
              <c:spPr>
                <a:solidFill>
                  <a:schemeClr val="tx1"/>
                </a:solidFill>
                <a:ln w="25400">
                  <a:noFill/>
                </a:ln>
                <a:effectLst/>
              </c:spPr>
            </c:marker>
            <c:bubble3D val="0"/>
            <c:extLst>
              <c:ext xmlns:c16="http://schemas.microsoft.com/office/drawing/2014/chart" uri="{C3380CC4-5D6E-409C-BE32-E72D297353CC}">
                <c16:uniqueId val="{0000001E-F954-490E-AA96-F29D2E7AFEF3}"/>
              </c:ext>
            </c:extLst>
          </c:dPt>
          <c:dPt>
            <c:idx val="8"/>
            <c:marker>
              <c:symbol val="diamond"/>
              <c:size val="5"/>
              <c:spPr>
                <a:solidFill>
                  <a:schemeClr val="tx1"/>
                </a:solidFill>
                <a:ln w="28575">
                  <a:noFill/>
                  <a:prstDash val="solid"/>
                </a:ln>
                <a:effectLst/>
              </c:spPr>
            </c:marker>
            <c:bubble3D val="0"/>
            <c:extLst>
              <c:ext xmlns:c16="http://schemas.microsoft.com/office/drawing/2014/chart" uri="{C3380CC4-5D6E-409C-BE32-E72D297353CC}">
                <c16:uniqueId val="{0000001F-F954-490E-AA96-F29D2E7AFEF3}"/>
              </c:ext>
            </c:extLst>
          </c:dPt>
          <c:dPt>
            <c:idx val="9"/>
            <c:marker>
              <c:symbol val="diamond"/>
              <c:size val="5"/>
              <c:spPr>
                <a:solidFill>
                  <a:schemeClr val="tx1"/>
                </a:solidFill>
                <a:ln w="28575">
                  <a:noFill/>
                  <a:prstDash val="solid"/>
                </a:ln>
                <a:effectLst/>
              </c:spPr>
            </c:marker>
            <c:bubble3D val="0"/>
            <c:extLst>
              <c:ext xmlns:c16="http://schemas.microsoft.com/office/drawing/2014/chart" uri="{C3380CC4-5D6E-409C-BE32-E72D297353CC}">
                <c16:uniqueId val="{00000020-F954-490E-AA96-F29D2E7AFEF3}"/>
              </c:ext>
            </c:extLst>
          </c:dPt>
          <c:cat>
            <c:numRef>
              <c:f>'results_intangibles (2)'!$A$4:$A$13</c:f>
              <c:numCache>
                <c:formatCode>General</c:formatCode>
                <c:ptCount val="10"/>
                <c:pt idx="0">
                  <c:v>-8</c:v>
                </c:pt>
                <c:pt idx="1">
                  <c:v>-7</c:v>
                </c:pt>
                <c:pt idx="2">
                  <c:v>-6</c:v>
                </c:pt>
                <c:pt idx="3">
                  <c:v>-5</c:v>
                </c:pt>
                <c:pt idx="4">
                  <c:v>-4</c:v>
                </c:pt>
                <c:pt idx="5">
                  <c:v>-3</c:v>
                </c:pt>
                <c:pt idx="6">
                  <c:v>-2</c:v>
                </c:pt>
                <c:pt idx="7">
                  <c:v>-1</c:v>
                </c:pt>
                <c:pt idx="8">
                  <c:v>0</c:v>
                </c:pt>
                <c:pt idx="9">
                  <c:v>1</c:v>
                </c:pt>
              </c:numCache>
            </c:numRef>
          </c:cat>
          <c:val>
            <c:numRef>
              <c:f>'results_intangibles (2)'!$B$4:$B$13</c:f>
              <c:numCache>
                <c:formatCode>General</c:formatCode>
                <c:ptCount val="10"/>
                <c:pt idx="0">
                  <c:v>0.12107</c:v>
                </c:pt>
                <c:pt idx="1">
                  <c:v>6.8880000000000011E-2</c:v>
                </c:pt>
                <c:pt idx="2">
                  <c:v>6.8870000000000001E-2</c:v>
                </c:pt>
                <c:pt idx="3">
                  <c:v>0.11788</c:v>
                </c:pt>
                <c:pt idx="4">
                  <c:v>-0.10748000000000001</c:v>
                </c:pt>
                <c:pt idx="5">
                  <c:v>3.5740000000000001E-2</c:v>
                </c:pt>
                <c:pt idx="6">
                  <c:v>0.12467</c:v>
                </c:pt>
                <c:pt idx="7">
                  <c:v>0.36798999999999998</c:v>
                </c:pt>
                <c:pt idx="8">
                  <c:v>2.0477599999999998</c:v>
                </c:pt>
                <c:pt idx="9">
                  <c:v>1.32047</c:v>
                </c:pt>
              </c:numCache>
            </c:numRef>
          </c:val>
          <c:smooth val="0"/>
          <c:extLst>
            <c:ext xmlns:c16="http://schemas.microsoft.com/office/drawing/2014/chart" uri="{C3380CC4-5D6E-409C-BE32-E72D297353CC}">
              <c16:uniqueId val="{00000021-F954-490E-AA96-F29D2E7AFEF3}"/>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r>
                  <a:rPr lang="en-US" sz="700">
                    <a:latin typeface="Roboto" panose="02000000000000000000" pitchFamily="2" charset="0"/>
                  </a:rPr>
                  <a:t>Años desde la</a:t>
                </a:r>
                <a:r>
                  <a:rPr lang="en-US" sz="700" baseline="0">
                    <a:latin typeface="Roboto" panose="02000000000000000000" pitchFamily="2" charset="0"/>
                  </a:rPr>
                  <a:t> concesión</a:t>
                </a:r>
                <a:endParaRPr lang="en-US" sz="700">
                  <a:latin typeface="Roboto" panose="02000000000000000000" pitchFamily="2" charset="0"/>
                </a:endParaRPr>
              </a:p>
            </c:rich>
          </c:tx>
          <c:layout>
            <c:manualLayout>
              <c:xMode val="edge"/>
              <c:yMode val="edge"/>
              <c:x val="0.63616174226385369"/>
              <c:y val="0.93052946451834861"/>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cross"/>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scaling>
        <c:delete val="0"/>
        <c:axPos val="l"/>
        <c:majorGridlines>
          <c:spPr>
            <a:ln w="3810" cap="flat" cmpd="sng" algn="ctr">
              <a:solidFill>
                <a:schemeClr val="bg1">
                  <a:lumMod val="65000"/>
                </a:schemeClr>
              </a:solidFill>
              <a:prstDash val="solid"/>
              <a:round/>
            </a:ln>
            <a:effectLst/>
          </c:spPr>
        </c:majorGridlines>
        <c:numFmt formatCode="#,##0.0" sourceLinked="0"/>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799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748934509351569E-2"/>
          <c:y val="3.2462263022501978E-2"/>
          <c:w val="0.91577776461281657"/>
          <c:h val="0.80422433778819846"/>
        </c:manualLayout>
      </c:layout>
      <c:lineChart>
        <c:grouping val="standard"/>
        <c:varyColors val="0"/>
        <c:ser>
          <c:idx val="0"/>
          <c:order val="0"/>
          <c:tx>
            <c:strRef>
              <c:f>pretrends!$C$1</c:f>
              <c:strCache>
                <c:ptCount val="1"/>
                <c:pt idx="0">
                  <c:v>PTF no tratadas</c:v>
                </c:pt>
              </c:strCache>
            </c:strRef>
          </c:tx>
          <c:spPr>
            <a:ln w="28575" cap="rnd">
              <a:solidFill>
                <a:srgbClr val="000000"/>
              </a:solidFill>
              <a:prstDash val="solid"/>
              <a:round/>
            </a:ln>
            <a:effectLst/>
          </c:spPr>
          <c:marker>
            <c:symbol val="none"/>
          </c:marker>
          <c:cat>
            <c:numRef>
              <c:f>pretrends!$A$2:$A$12</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pretrends!$C$2:$C$12</c:f>
              <c:numCache>
                <c:formatCode>General</c:formatCode>
                <c:ptCount val="11"/>
                <c:pt idx="0">
                  <c:v>1.0357179999999999</c:v>
                </c:pt>
                <c:pt idx="1">
                  <c:v>1.072403</c:v>
                </c:pt>
                <c:pt idx="2">
                  <c:v>1.099234</c:v>
                </c:pt>
                <c:pt idx="3">
                  <c:v>1.1181019999999999</c:v>
                </c:pt>
                <c:pt idx="4">
                  <c:v>1.1338820000000001</c:v>
                </c:pt>
                <c:pt idx="5">
                  <c:v>1.1312040000000001</c:v>
                </c:pt>
                <c:pt idx="6">
                  <c:v>1.028732</c:v>
                </c:pt>
                <c:pt idx="7">
                  <c:v>1.158358</c:v>
                </c:pt>
                <c:pt idx="8">
                  <c:v>1.1676679999999999</c:v>
                </c:pt>
                <c:pt idx="9">
                  <c:v>1.182104</c:v>
                </c:pt>
                <c:pt idx="10">
                  <c:v>1.1947760000000001</c:v>
                </c:pt>
              </c:numCache>
            </c:numRef>
          </c:val>
          <c:smooth val="0"/>
          <c:extLst>
            <c:ext xmlns:c16="http://schemas.microsoft.com/office/drawing/2014/chart" uri="{C3380CC4-5D6E-409C-BE32-E72D297353CC}">
              <c16:uniqueId val="{00000000-73E5-47BC-B7BA-0C2E537F3AD6}"/>
            </c:ext>
          </c:extLst>
        </c:ser>
        <c:ser>
          <c:idx val="1"/>
          <c:order val="1"/>
          <c:tx>
            <c:strRef>
              <c:f>pretrends!$D$1</c:f>
              <c:strCache>
                <c:ptCount val="1"/>
                <c:pt idx="0">
                  <c:v>PTF tratadas</c:v>
                </c:pt>
              </c:strCache>
            </c:strRef>
          </c:tx>
          <c:spPr>
            <a:ln w="28575" cap="rnd">
              <a:solidFill>
                <a:srgbClr val="7DB749"/>
              </a:solidFill>
              <a:prstDash val="sysDash"/>
              <a:round/>
            </a:ln>
            <a:effectLst/>
          </c:spPr>
          <c:marker>
            <c:symbol val="none"/>
          </c:marker>
          <c:cat>
            <c:numRef>
              <c:f>pretrends!$A$2:$A$12</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pretrends!$D$2:$D$12</c:f>
              <c:numCache>
                <c:formatCode>General</c:formatCode>
                <c:ptCount val="11"/>
                <c:pt idx="0">
                  <c:v>1.0353760000000001</c:v>
                </c:pt>
                <c:pt idx="1">
                  <c:v>1.0743959999999999</c:v>
                </c:pt>
                <c:pt idx="2">
                  <c:v>1.0992230000000001</c:v>
                </c:pt>
                <c:pt idx="3">
                  <c:v>1.1210629999999999</c:v>
                </c:pt>
                <c:pt idx="4">
                  <c:v>1.1310830000000001</c:v>
                </c:pt>
                <c:pt idx="5">
                  <c:v>1.138312</c:v>
                </c:pt>
                <c:pt idx="6">
                  <c:v>1.0349299999999999</c:v>
                </c:pt>
                <c:pt idx="7">
                  <c:v>1.168528</c:v>
                </c:pt>
                <c:pt idx="8">
                  <c:v>1.1811020000000001</c:v>
                </c:pt>
                <c:pt idx="9">
                  <c:v>1.2018880000000001</c:v>
                </c:pt>
                <c:pt idx="10">
                  <c:v>1.2093689999999999</c:v>
                </c:pt>
              </c:numCache>
            </c:numRef>
          </c:val>
          <c:smooth val="0"/>
          <c:extLst>
            <c:ext xmlns:c16="http://schemas.microsoft.com/office/drawing/2014/chart" uri="{C3380CC4-5D6E-409C-BE32-E72D297353CC}">
              <c16:uniqueId val="{00000001-73E5-47BC-B7BA-0C2E537F3AD6}"/>
            </c:ext>
          </c:extLst>
        </c:ser>
        <c:dLbls>
          <c:showLegendKey val="0"/>
          <c:showVal val="0"/>
          <c:showCatName val="0"/>
          <c:showSerName val="0"/>
          <c:showPercent val="0"/>
          <c:showBubbleSize val="0"/>
        </c:dLbls>
        <c:smooth val="0"/>
        <c:axId val="27742959"/>
        <c:axId val="27757359"/>
      </c:lineChart>
      <c:catAx>
        <c:axId val="27742959"/>
        <c:scaling>
          <c:orientation val="minMax"/>
        </c:scaling>
        <c:delete val="0"/>
        <c:axPos val="b"/>
        <c:numFmt formatCode="General" sourceLinked="1"/>
        <c:majorTickMark val="in"/>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57359"/>
        <c:crossesAt val="0"/>
        <c:auto val="1"/>
        <c:lblAlgn val="ctr"/>
        <c:lblOffset val="100"/>
        <c:noMultiLvlLbl val="0"/>
      </c:catAx>
      <c:valAx>
        <c:axId val="27757359"/>
        <c:scaling>
          <c:orientation val="minMax"/>
          <c:min val="1"/>
        </c:scaling>
        <c:delete val="0"/>
        <c:axPos val="l"/>
        <c:majorGridlines>
          <c:spPr>
            <a:ln w="5080" cap="flat" cmpd="sng" algn="ctr">
              <a:solidFill>
                <a:srgbClr val="7F7F7F"/>
              </a:solidFill>
              <a:prstDash val="dash"/>
              <a:round/>
            </a:ln>
            <a:effectLst/>
          </c:spPr>
        </c:majorGridlines>
        <c:numFmt formatCode="#,##0.00" sourceLinked="0"/>
        <c:majorTickMark val="in"/>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4295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layout>
        <c:manualLayout>
          <c:xMode val="edge"/>
          <c:yMode val="edge"/>
          <c:x val="0.17542962882940649"/>
          <c:y val="0.92524224476759731"/>
          <c:w val="0.65445164258059574"/>
          <c:h val="7.4668912711478699E-2"/>
        </c:manualLayout>
      </c:layout>
      <c:overlay val="0"/>
      <c:spPr>
        <a:noFill/>
        <a:ln w="25400">
          <a:noFill/>
        </a:ln>
        <a:effectLst/>
      </c:spPr>
      <c:txPr>
        <a:bodyPr rot="0" spcFirstLastPara="1" vertOverflow="ellipsis" vert="horz" wrap="square" anchor="ctr" anchorCtr="1"/>
        <a:lstStyle/>
        <a:p>
          <a:pPr>
            <a:defRPr sz="1100" b="0" i="0" u="none" strike="noStrike" kern="1200" baseline="0">
              <a:solidFill>
                <a:srgbClr val="000000"/>
              </a:solidFill>
              <a:latin typeface="Roboto"/>
              <a:ea typeface="Roboto"/>
              <a:cs typeface="Roboto"/>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pretrends!$A$2:$A$12</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pretrends!$C$16:$C$25</c:f>
              <c:numCache>
                <c:formatCode>General</c:formatCode>
                <c:ptCount val="10"/>
                <c:pt idx="0">
                  <c:v>3.6685000000000079E-2</c:v>
                </c:pt>
                <c:pt idx="1">
                  <c:v>2.6831000000000049E-2</c:v>
                </c:pt>
                <c:pt idx="2">
                  <c:v>1.8867999999999885E-2</c:v>
                </c:pt>
                <c:pt idx="3">
                  <c:v>1.5780000000000127E-2</c:v>
                </c:pt>
                <c:pt idx="4">
                  <c:v>-2.6779999999999582E-3</c:v>
                </c:pt>
                <c:pt idx="5">
                  <c:v>-0.10247200000000012</c:v>
                </c:pt>
                <c:pt idx="6">
                  <c:v>0.12962600000000002</c:v>
                </c:pt>
                <c:pt idx="7">
                  <c:v>9.3099999999999294E-3</c:v>
                </c:pt>
                <c:pt idx="8">
                  <c:v>1.4436000000000115E-2</c:v>
                </c:pt>
                <c:pt idx="9">
                  <c:v>1.2672000000000017E-2</c:v>
                </c:pt>
              </c:numCache>
            </c:numRef>
          </c:val>
          <c:smooth val="0"/>
          <c:extLst>
            <c:ext xmlns:c16="http://schemas.microsoft.com/office/drawing/2014/chart" uri="{C3380CC4-5D6E-409C-BE32-E72D297353CC}">
              <c16:uniqueId val="{00000000-1DE6-4440-818F-656FE41347C7}"/>
            </c:ext>
          </c:extLst>
        </c:ser>
        <c:ser>
          <c:idx val="1"/>
          <c:order val="1"/>
          <c:spPr>
            <a:ln w="28575" cap="rnd">
              <a:solidFill>
                <a:schemeClr val="accent2"/>
              </a:solidFill>
              <a:round/>
            </a:ln>
            <a:effectLst/>
          </c:spPr>
          <c:marker>
            <c:symbol val="none"/>
          </c:marker>
          <c:cat>
            <c:numRef>
              <c:f>pretrends!$A$2:$A$12</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pretrends!$D$16:$D$25</c:f>
              <c:numCache>
                <c:formatCode>General</c:formatCode>
                <c:ptCount val="10"/>
                <c:pt idx="0">
                  <c:v>3.9019999999999833E-2</c:v>
                </c:pt>
                <c:pt idx="1">
                  <c:v>2.4827000000000155E-2</c:v>
                </c:pt>
                <c:pt idx="2">
                  <c:v>2.183999999999986E-2</c:v>
                </c:pt>
                <c:pt idx="3">
                  <c:v>1.002000000000014E-2</c:v>
                </c:pt>
                <c:pt idx="4">
                  <c:v>7.2289999999999299E-3</c:v>
                </c:pt>
                <c:pt idx="5">
                  <c:v>-0.10338200000000008</c:v>
                </c:pt>
                <c:pt idx="6">
                  <c:v>0.13359800000000011</c:v>
                </c:pt>
                <c:pt idx="7">
                  <c:v>1.2574000000000085E-2</c:v>
                </c:pt>
                <c:pt idx="8">
                  <c:v>2.0785999999999971E-2</c:v>
                </c:pt>
                <c:pt idx="9">
                  <c:v>7.4809999999998489E-3</c:v>
                </c:pt>
              </c:numCache>
            </c:numRef>
          </c:val>
          <c:smooth val="0"/>
          <c:extLst>
            <c:ext xmlns:c16="http://schemas.microsoft.com/office/drawing/2014/chart" uri="{C3380CC4-5D6E-409C-BE32-E72D297353CC}">
              <c16:uniqueId val="{00000001-1DE6-4440-818F-656FE41347C7}"/>
            </c:ext>
          </c:extLst>
        </c:ser>
        <c:dLbls>
          <c:showLegendKey val="0"/>
          <c:showVal val="0"/>
          <c:showCatName val="0"/>
          <c:showSerName val="0"/>
          <c:showPercent val="0"/>
          <c:showBubbleSize val="0"/>
        </c:dLbls>
        <c:smooth val="0"/>
        <c:axId val="823904655"/>
        <c:axId val="823908495"/>
      </c:lineChart>
      <c:catAx>
        <c:axId val="82390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823908495"/>
        <c:crosses val="autoZero"/>
        <c:auto val="1"/>
        <c:lblAlgn val="ctr"/>
        <c:lblOffset val="100"/>
        <c:noMultiLvlLbl val="0"/>
      </c:catAx>
      <c:valAx>
        <c:axId val="82390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823904655"/>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019315582314874E-2"/>
          <c:y val="0.12230804699848168"/>
          <c:w val="0.89375842491065283"/>
          <c:h val="0.71567763706955989"/>
        </c:manualLayout>
      </c:layout>
      <c:barChart>
        <c:barDir val="col"/>
        <c:grouping val="stacked"/>
        <c:varyColors val="0"/>
        <c:ser>
          <c:idx val="2"/>
          <c:order val="1"/>
          <c:tx>
            <c:v>rango</c:v>
          </c:tx>
          <c:spPr>
            <a:no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10-EB39-428C-9F6D-B877E9382B26}"/>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11-EB39-428C-9F6D-B877E9382B26}"/>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12-EB39-428C-9F6D-B877E9382B26}"/>
              </c:ext>
            </c:extLst>
          </c:dPt>
          <c:dPt>
            <c:idx val="5"/>
            <c:invertIfNegative val="0"/>
            <c:bubble3D val="0"/>
            <c:spPr>
              <a:solidFill>
                <a:srgbClr val="7DB749">
                  <a:alpha val="50000"/>
                </a:srgbClr>
              </a:solidFill>
              <a:ln>
                <a:noFill/>
              </a:ln>
              <a:effectLst/>
            </c:spPr>
            <c:extLst>
              <c:ext xmlns:c16="http://schemas.microsoft.com/office/drawing/2014/chart" uri="{C3380CC4-5D6E-409C-BE32-E72D297353CC}">
                <c16:uniqueId val="{00000013-EB39-428C-9F6D-B877E9382B26}"/>
              </c:ext>
            </c:extLst>
          </c:dPt>
          <c:dPt>
            <c:idx val="6"/>
            <c:invertIfNegative val="0"/>
            <c:bubble3D val="0"/>
            <c:spPr>
              <a:solidFill>
                <a:srgbClr val="7DB749">
                  <a:alpha val="50000"/>
                </a:srgbClr>
              </a:solidFill>
              <a:ln>
                <a:noFill/>
              </a:ln>
              <a:effectLst/>
            </c:spPr>
            <c:extLst>
              <c:ext xmlns:c16="http://schemas.microsoft.com/office/drawing/2014/chart" uri="{C3380CC4-5D6E-409C-BE32-E72D297353CC}">
                <c16:uniqueId val="{00000014-EB39-428C-9F6D-B877E9382B26}"/>
              </c:ext>
            </c:extLst>
          </c:dPt>
          <c:dPt>
            <c:idx val="7"/>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D3CA-464F-A252-DBDDC72FC602}"/>
              </c:ext>
            </c:extLst>
          </c:dPt>
          <c:dPt>
            <c:idx val="8"/>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D3CA-464F-A252-DBDDC72FC602}"/>
              </c:ext>
            </c:extLst>
          </c:dPt>
          <c:val>
            <c:numRef>
              <c:f>event_study!$G$2:$G$10</c:f>
              <c:numCache>
                <c:formatCode>General</c:formatCode>
                <c:ptCount val="9"/>
                <c:pt idx="0">
                  <c:v>2.5168999999999999E-3</c:v>
                </c:pt>
                <c:pt idx="1">
                  <c:v>-1.7249999999999999E-4</c:v>
                </c:pt>
                <c:pt idx="2">
                  <c:v>2.9994000000000002E-3</c:v>
                </c:pt>
                <c:pt idx="3">
                  <c:v>-8.4820000000000002E-4</c:v>
                </c:pt>
                <c:pt idx="4">
                  <c:v>6.1063000000000003E-3</c:v>
                </c:pt>
                <c:pt idx="5">
                  <c:v>9.4702999999999992E-3</c:v>
                </c:pt>
                <c:pt idx="6">
                  <c:v>1.29596E-2</c:v>
                </c:pt>
                <c:pt idx="7">
                  <c:v>9.7240999999999994E-3</c:v>
                </c:pt>
                <c:pt idx="8">
                  <c:v>8.0782000000000007E-3</c:v>
                </c:pt>
              </c:numCache>
            </c:numRef>
          </c:val>
          <c:extLst>
            <c:ext xmlns:c16="http://schemas.microsoft.com/office/drawing/2014/chart" uri="{C3380CC4-5D6E-409C-BE32-E72D297353CC}">
              <c16:uniqueId val="{00000002-EB39-428C-9F6D-B877E9382B26}"/>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7"/>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EB39-428C-9F6D-B877E9382B26}"/>
              </c:ext>
            </c:extLst>
          </c:dPt>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EB39-428C-9F6D-B877E9382B26}"/>
              </c:ext>
            </c:extLst>
          </c:dPt>
          <c:val>
            <c:numRef>
              <c:f>event_study!$F$2:$F$10</c:f>
              <c:numCache>
                <c:formatCode>General</c:formatCode>
                <c:ptCount val="9"/>
                <c:pt idx="0">
                  <c:v>-1.49394E-2</c:v>
                </c:pt>
                <c:pt idx="1">
                  <c:v>-1.6705000000000001E-2</c:v>
                </c:pt>
                <c:pt idx="2">
                  <c:v>-1.37216E-2</c:v>
                </c:pt>
                <c:pt idx="3">
                  <c:v>-1.6935100000000002E-2</c:v>
                </c:pt>
                <c:pt idx="4">
                  <c:v>-1.02831E-2</c:v>
                </c:pt>
                <c:pt idx="5">
                  <c:v>-1.19597E-2</c:v>
                </c:pt>
                <c:pt idx="6">
                  <c:v>-4.0872E-3</c:v>
                </c:pt>
                <c:pt idx="7">
                  <c:v>1.7103500000000001E-2</c:v>
                </c:pt>
                <c:pt idx="8">
                  <c:v>2.0263299999999998E-2</c:v>
                </c:pt>
              </c:numCache>
            </c:numRef>
          </c:val>
          <c:extLst>
            <c:ext xmlns:c16="http://schemas.microsoft.com/office/drawing/2014/chart" uri="{C3380CC4-5D6E-409C-BE32-E72D297353CC}">
              <c16:uniqueId val="{00000001-EB39-428C-9F6D-B877E9382B26}"/>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3-EB39-428C-9F6D-B877E9382B26}"/>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4-EB39-428C-9F6D-B877E9382B26}"/>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5-EB39-428C-9F6D-B877E9382B26}"/>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6-EB39-428C-9F6D-B877E9382B26}"/>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7-EB39-428C-9F6D-B877E9382B26}"/>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8-EB39-428C-9F6D-B877E9382B26}"/>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09-EB39-428C-9F6D-B877E9382B26}"/>
              </c:ext>
            </c:extLst>
          </c:dPt>
          <c:dPt>
            <c:idx val="7"/>
            <c:marker>
              <c:symbol val="diamond"/>
              <c:size val="8"/>
              <c:spPr>
                <a:solidFill>
                  <a:srgbClr val="FFC000"/>
                </a:solidFill>
                <a:ln w="25400">
                  <a:solidFill>
                    <a:srgbClr val="FFC000"/>
                  </a:solidFill>
                </a:ln>
                <a:effectLst/>
              </c:spPr>
            </c:marker>
            <c:bubble3D val="0"/>
            <c:extLst>
              <c:ext xmlns:c16="http://schemas.microsoft.com/office/drawing/2014/chart" uri="{C3380CC4-5D6E-409C-BE32-E72D297353CC}">
                <c16:uniqueId val="{0000000A-EB39-428C-9F6D-B877E9382B26}"/>
              </c:ext>
            </c:extLst>
          </c:dPt>
          <c:dPt>
            <c:idx val="8"/>
            <c:marker>
              <c:symbol val="diamond"/>
              <c:size val="8"/>
              <c:spPr>
                <a:solidFill>
                  <a:srgbClr val="FFC000"/>
                </a:solidFill>
                <a:ln w="25400">
                  <a:solidFill>
                    <a:srgbClr val="FFC000"/>
                  </a:solidFill>
                </a:ln>
                <a:effectLst/>
              </c:spPr>
            </c:marker>
            <c:bubble3D val="0"/>
            <c:extLst>
              <c:ext xmlns:c16="http://schemas.microsoft.com/office/drawing/2014/chart" uri="{C3380CC4-5D6E-409C-BE32-E72D297353CC}">
                <c16:uniqueId val="{0000000B-EB39-428C-9F6D-B877E9382B26}"/>
              </c:ext>
            </c:extLst>
          </c:dPt>
          <c:cat>
            <c:numRef>
              <c:f>event_study!$A$2:$A$10</c:f>
              <c:numCache>
                <c:formatCode>General</c:formatCode>
                <c:ptCount val="9"/>
                <c:pt idx="0">
                  <c:v>-8</c:v>
                </c:pt>
                <c:pt idx="1">
                  <c:v>-7</c:v>
                </c:pt>
                <c:pt idx="2">
                  <c:v>-6</c:v>
                </c:pt>
                <c:pt idx="3">
                  <c:v>-5</c:v>
                </c:pt>
                <c:pt idx="4">
                  <c:v>-4</c:v>
                </c:pt>
                <c:pt idx="5">
                  <c:v>-3</c:v>
                </c:pt>
                <c:pt idx="6">
                  <c:v>-2</c:v>
                </c:pt>
                <c:pt idx="7">
                  <c:v>0</c:v>
                </c:pt>
                <c:pt idx="8">
                  <c:v>1</c:v>
                </c:pt>
              </c:numCache>
            </c:numRef>
          </c:cat>
          <c:val>
            <c:numRef>
              <c:f>event_study!$B$2:$B$10</c:f>
              <c:numCache>
                <c:formatCode>General</c:formatCode>
                <c:ptCount val="9"/>
                <c:pt idx="0">
                  <c:v>-6.2113000000000003E-3</c:v>
                </c:pt>
                <c:pt idx="1">
                  <c:v>-8.4387000000000004E-3</c:v>
                </c:pt>
                <c:pt idx="2">
                  <c:v>-5.3610999999999997E-3</c:v>
                </c:pt>
                <c:pt idx="3">
                  <c:v>-8.8915999999999995E-3</c:v>
                </c:pt>
                <c:pt idx="4">
                  <c:v>-2.0883999999999998E-3</c:v>
                </c:pt>
                <c:pt idx="5">
                  <c:v>-1.2447000000000001E-3</c:v>
                </c:pt>
                <c:pt idx="6">
                  <c:v>4.4362000000000004E-3</c:v>
                </c:pt>
                <c:pt idx="7">
                  <c:v>1.8275900000000001E-2</c:v>
                </c:pt>
                <c:pt idx="8">
                  <c:v>1.8209800000000002E-2</c:v>
                </c:pt>
              </c:numCache>
            </c:numRef>
          </c:val>
          <c:smooth val="0"/>
          <c:extLst>
            <c:ext xmlns:c16="http://schemas.microsoft.com/office/drawing/2014/chart" uri="{C3380CC4-5D6E-409C-BE32-E72D297353CC}">
              <c16:uniqueId val="{00000000-EB39-428C-9F6D-B877E9382B26}"/>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0000"/>
                    </a:solidFill>
                    <a:latin typeface="Roboto" panose="02000000000000000000" pitchFamily="2" charset="0"/>
                    <a:ea typeface="Roboto"/>
                    <a:cs typeface="Roboto"/>
                  </a:defRPr>
                </a:pPr>
                <a:r>
                  <a:rPr lang="en-US">
                    <a:latin typeface="Roboto" panose="02000000000000000000" pitchFamily="2" charset="0"/>
                  </a:rPr>
                  <a:t>Años desde la</a:t>
                </a:r>
                <a:r>
                  <a:rPr lang="en-US" baseline="0">
                    <a:latin typeface="Roboto" panose="02000000000000000000" pitchFamily="2" charset="0"/>
                  </a:rPr>
                  <a:t> concesión</a:t>
                </a:r>
                <a:endParaRPr lang="en-US">
                  <a:latin typeface="Roboto" panose="02000000000000000000" pitchFamily="2" charset="0"/>
                </a:endParaRPr>
              </a:p>
            </c:rich>
          </c:tx>
          <c:layout>
            <c:manualLayout>
              <c:xMode val="edge"/>
              <c:yMode val="edge"/>
              <c:x val="0.76381432896064583"/>
              <c:y val="0.9296703296703297"/>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cross"/>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scaling>
        <c:delete val="0"/>
        <c:axPos val="l"/>
        <c:majorGridlines>
          <c:spPr>
            <a:ln w="5080" cap="flat" cmpd="sng" algn="ctr">
              <a:solidFill>
                <a:srgbClr val="7F7F7F"/>
              </a:solidFill>
              <a:prstDash val="dash"/>
              <a:round/>
            </a:ln>
            <a:effectLst/>
          </c:spPr>
        </c:majorGridlines>
        <c:title>
          <c:tx>
            <c:rich>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r>
                  <a:rPr lang="en-US">
                    <a:latin typeface="Roboto" panose="02000000000000000000" pitchFamily="2" charset="0"/>
                    <a:ea typeface="Roboto" panose="02000000000000000000" pitchFamily="2" charset="0"/>
                  </a:rPr>
                  <a:t>log-puntos </a:t>
                </a:r>
              </a:p>
            </c:rich>
          </c:tx>
          <c:layout>
            <c:manualLayout>
              <c:xMode val="edge"/>
              <c:yMode val="edge"/>
              <c:x val="8.7705729518421705E-2"/>
              <c:y val="4.4582157999480843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endParaRPr lang="en-US"/>
            </a:p>
          </c:txPr>
        </c:title>
        <c:numFmt formatCode="#,##0.00" sourceLinked="0"/>
        <c:majorTickMark val="in"/>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77999"/>
        <c:crosses val="autoZero"/>
        <c:crossBetween val="between"/>
        <c:majorUnit val="1.0000000000000002E-2"/>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835093784008707E-2"/>
          <c:y val="0.12230804699848168"/>
          <c:w val="0.61694411336246846"/>
          <c:h val="0.71567763706955989"/>
        </c:manualLayout>
      </c:layout>
      <c:barChart>
        <c:barDir val="col"/>
        <c:grouping val="stacked"/>
        <c:varyColors val="0"/>
        <c:ser>
          <c:idx val="2"/>
          <c:order val="1"/>
          <c:tx>
            <c:v>rango</c:v>
          </c:tx>
          <c:spPr>
            <a:no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01-AB44-4970-B2C0-4788EBA2F500}"/>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03-AB44-4970-B2C0-4788EBA2F500}"/>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05-AB44-4970-B2C0-4788EBA2F500}"/>
              </c:ext>
            </c:extLst>
          </c:dPt>
          <c:dPt>
            <c:idx val="5"/>
            <c:invertIfNegative val="0"/>
            <c:bubble3D val="0"/>
            <c:spPr>
              <a:solidFill>
                <a:srgbClr val="7DB749">
                  <a:alpha val="50000"/>
                </a:srgbClr>
              </a:solidFill>
              <a:ln>
                <a:noFill/>
              </a:ln>
              <a:effectLst/>
            </c:spPr>
            <c:extLst>
              <c:ext xmlns:c16="http://schemas.microsoft.com/office/drawing/2014/chart" uri="{C3380CC4-5D6E-409C-BE32-E72D297353CC}">
                <c16:uniqueId val="{00000007-AB44-4970-B2C0-4788EBA2F500}"/>
              </c:ext>
            </c:extLst>
          </c:dPt>
          <c:dPt>
            <c:idx val="6"/>
            <c:invertIfNegative val="0"/>
            <c:bubble3D val="0"/>
            <c:spPr>
              <a:solidFill>
                <a:srgbClr val="7DB749">
                  <a:alpha val="50000"/>
                </a:srgbClr>
              </a:solidFill>
              <a:ln>
                <a:noFill/>
              </a:ln>
              <a:effectLst/>
            </c:spPr>
            <c:extLst>
              <c:ext xmlns:c16="http://schemas.microsoft.com/office/drawing/2014/chart" uri="{C3380CC4-5D6E-409C-BE32-E72D297353CC}">
                <c16:uniqueId val="{00000009-AB44-4970-B2C0-4788EBA2F500}"/>
              </c:ext>
            </c:extLst>
          </c:dPt>
          <c:dPt>
            <c:idx val="7"/>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AB44-4970-B2C0-4788EBA2F500}"/>
              </c:ext>
            </c:extLst>
          </c:dPt>
          <c:dPt>
            <c:idx val="8"/>
            <c:invertIfNegative val="0"/>
            <c:bubble3D val="0"/>
            <c:spPr>
              <a:no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AB44-4970-B2C0-4788EBA2F500}"/>
              </c:ext>
            </c:extLst>
          </c:dPt>
          <c:val>
            <c:numRef>
              <c:f>'event_study (%)'!$G$2:$G$10</c:f>
              <c:numCache>
                <c:formatCode>General</c:formatCode>
                <c:ptCount val="9"/>
                <c:pt idx="0">
                  <c:v>0.25168999999999997</c:v>
                </c:pt>
                <c:pt idx="1">
                  <c:v>-1.7249999999999998E-2</c:v>
                </c:pt>
                <c:pt idx="2">
                  <c:v>0.29994000000000004</c:v>
                </c:pt>
                <c:pt idx="3">
                  <c:v>-8.4820000000000007E-2</c:v>
                </c:pt>
                <c:pt idx="4">
                  <c:v>0.61063000000000001</c:v>
                </c:pt>
                <c:pt idx="5">
                  <c:v>0.94702999999999993</c:v>
                </c:pt>
                <c:pt idx="6">
                  <c:v>1.29596</c:v>
                </c:pt>
                <c:pt idx="7">
                  <c:v>0.97241</c:v>
                </c:pt>
                <c:pt idx="8">
                  <c:v>0.80782000000000009</c:v>
                </c:pt>
              </c:numCache>
            </c:numRef>
          </c:val>
          <c:extLst>
            <c:ext xmlns:c16="http://schemas.microsoft.com/office/drawing/2014/chart" uri="{C3380CC4-5D6E-409C-BE32-E72D297353CC}">
              <c16:uniqueId val="{0000000E-AB44-4970-B2C0-4788EBA2F500}"/>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7"/>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0-AB44-4970-B2C0-4788EBA2F500}"/>
              </c:ext>
            </c:extLst>
          </c:dPt>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2-AB44-4970-B2C0-4788EBA2F500}"/>
              </c:ext>
            </c:extLst>
          </c:dPt>
          <c:val>
            <c:numRef>
              <c:f>'event_study (%)'!$F$2:$F$10</c:f>
              <c:numCache>
                <c:formatCode>General</c:formatCode>
                <c:ptCount val="9"/>
                <c:pt idx="0">
                  <c:v>-1.49394</c:v>
                </c:pt>
                <c:pt idx="1">
                  <c:v>-1.6705000000000001</c:v>
                </c:pt>
                <c:pt idx="2">
                  <c:v>-1.37216</c:v>
                </c:pt>
                <c:pt idx="3">
                  <c:v>-1.6935100000000001</c:v>
                </c:pt>
                <c:pt idx="4">
                  <c:v>-1.0283100000000001</c:v>
                </c:pt>
                <c:pt idx="5">
                  <c:v>-1.19597</c:v>
                </c:pt>
                <c:pt idx="6">
                  <c:v>-0.40872000000000003</c:v>
                </c:pt>
                <c:pt idx="7">
                  <c:v>1.71035</c:v>
                </c:pt>
                <c:pt idx="8">
                  <c:v>2.0263299999999997</c:v>
                </c:pt>
              </c:numCache>
            </c:numRef>
          </c:val>
          <c:extLst>
            <c:ext xmlns:c16="http://schemas.microsoft.com/office/drawing/2014/chart" uri="{C3380CC4-5D6E-409C-BE32-E72D297353CC}">
              <c16:uniqueId val="{00000013-AB44-4970-B2C0-4788EBA2F500}"/>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4-AB44-4970-B2C0-4788EBA2F500}"/>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5-AB44-4970-B2C0-4788EBA2F500}"/>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6-AB44-4970-B2C0-4788EBA2F500}"/>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7-AB44-4970-B2C0-4788EBA2F500}"/>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8-AB44-4970-B2C0-4788EBA2F500}"/>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9-AB44-4970-B2C0-4788EBA2F500}"/>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A-AB44-4970-B2C0-4788EBA2F500}"/>
              </c:ext>
            </c:extLst>
          </c:dPt>
          <c:dPt>
            <c:idx val="7"/>
            <c:marker>
              <c:symbol val="diamond"/>
              <c:size val="8"/>
              <c:spPr>
                <a:solidFill>
                  <a:srgbClr val="FFC000"/>
                </a:solidFill>
                <a:ln w="25400">
                  <a:solidFill>
                    <a:srgbClr val="FFC000"/>
                  </a:solidFill>
                </a:ln>
                <a:effectLst/>
              </c:spPr>
            </c:marker>
            <c:bubble3D val="0"/>
            <c:extLst>
              <c:ext xmlns:c16="http://schemas.microsoft.com/office/drawing/2014/chart" uri="{C3380CC4-5D6E-409C-BE32-E72D297353CC}">
                <c16:uniqueId val="{0000001B-AB44-4970-B2C0-4788EBA2F500}"/>
              </c:ext>
            </c:extLst>
          </c:dPt>
          <c:dPt>
            <c:idx val="8"/>
            <c:marker>
              <c:symbol val="diamond"/>
              <c:size val="8"/>
              <c:spPr>
                <a:solidFill>
                  <a:srgbClr val="FFC000"/>
                </a:solidFill>
                <a:ln w="25400">
                  <a:solidFill>
                    <a:srgbClr val="FFC000"/>
                  </a:solidFill>
                </a:ln>
                <a:effectLst/>
              </c:spPr>
            </c:marker>
            <c:bubble3D val="0"/>
            <c:extLst>
              <c:ext xmlns:c16="http://schemas.microsoft.com/office/drawing/2014/chart" uri="{C3380CC4-5D6E-409C-BE32-E72D297353CC}">
                <c16:uniqueId val="{0000001C-AB44-4970-B2C0-4788EBA2F500}"/>
              </c:ext>
            </c:extLst>
          </c:dPt>
          <c:cat>
            <c:numRef>
              <c:f>'event_study (%)'!$A$2:$A$10</c:f>
              <c:numCache>
                <c:formatCode>General</c:formatCode>
                <c:ptCount val="9"/>
                <c:pt idx="0">
                  <c:v>-8</c:v>
                </c:pt>
                <c:pt idx="1">
                  <c:v>-7</c:v>
                </c:pt>
                <c:pt idx="2">
                  <c:v>-6</c:v>
                </c:pt>
                <c:pt idx="3">
                  <c:v>-5</c:v>
                </c:pt>
                <c:pt idx="4">
                  <c:v>-4</c:v>
                </c:pt>
                <c:pt idx="5">
                  <c:v>-3</c:v>
                </c:pt>
                <c:pt idx="6">
                  <c:v>-2</c:v>
                </c:pt>
                <c:pt idx="7">
                  <c:v>0</c:v>
                </c:pt>
                <c:pt idx="8">
                  <c:v>1</c:v>
                </c:pt>
              </c:numCache>
            </c:numRef>
          </c:cat>
          <c:val>
            <c:numRef>
              <c:f>'event_study (%)'!$B$2:$B$10</c:f>
              <c:numCache>
                <c:formatCode>General</c:formatCode>
                <c:ptCount val="9"/>
                <c:pt idx="0">
                  <c:v>-0.62113000000000007</c:v>
                </c:pt>
                <c:pt idx="1">
                  <c:v>-0.84387000000000001</c:v>
                </c:pt>
                <c:pt idx="2">
                  <c:v>-0.53610999999999998</c:v>
                </c:pt>
                <c:pt idx="3">
                  <c:v>-0.88915999999999995</c:v>
                </c:pt>
                <c:pt idx="4">
                  <c:v>-0.20883999999999997</c:v>
                </c:pt>
                <c:pt idx="5">
                  <c:v>-0.12447000000000001</c:v>
                </c:pt>
                <c:pt idx="6">
                  <c:v>0.44362000000000001</c:v>
                </c:pt>
                <c:pt idx="7">
                  <c:v>1.82759</c:v>
                </c:pt>
                <c:pt idx="8">
                  <c:v>1.8209800000000003</c:v>
                </c:pt>
              </c:numCache>
            </c:numRef>
          </c:val>
          <c:smooth val="0"/>
          <c:extLst>
            <c:ext xmlns:c16="http://schemas.microsoft.com/office/drawing/2014/chart" uri="{C3380CC4-5D6E-409C-BE32-E72D297353CC}">
              <c16:uniqueId val="{0000001D-AB44-4970-B2C0-4788EBA2F500}"/>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r>
                  <a:rPr lang="en-US" sz="700">
                    <a:latin typeface="Roboto" panose="02000000000000000000" pitchFamily="2" charset="0"/>
                  </a:rPr>
                  <a:t>Años desde la</a:t>
                </a:r>
                <a:r>
                  <a:rPr lang="en-US" sz="700" baseline="0">
                    <a:latin typeface="Roboto" panose="02000000000000000000" pitchFamily="2" charset="0"/>
                  </a:rPr>
                  <a:t> concesión</a:t>
                </a:r>
                <a:endParaRPr lang="en-US" sz="700">
                  <a:latin typeface="Roboto" panose="02000000000000000000" pitchFamily="2" charset="0"/>
                </a:endParaRPr>
              </a:p>
            </c:rich>
          </c:tx>
          <c:layout>
            <c:manualLayout>
              <c:xMode val="edge"/>
              <c:yMode val="edge"/>
              <c:x val="0.49050622434114688"/>
              <c:y val="0.93530573304934328"/>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cross"/>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scaling>
        <c:delete val="0"/>
        <c:axPos val="l"/>
        <c:majorGridlines>
          <c:spPr>
            <a:ln w="3810" cap="flat" cmpd="sng" algn="ctr">
              <a:solidFill>
                <a:srgbClr val="A6A6A6"/>
              </a:solidFill>
              <a:prstDash val="solid"/>
              <a:round/>
            </a:ln>
            <a:effectLst/>
          </c:spPr>
        </c:majorGridlines>
        <c:title>
          <c:tx>
            <c:rich>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r>
                  <a:rPr lang="en-US" sz="700">
                    <a:latin typeface="Roboto" panose="02000000000000000000" pitchFamily="2" charset="0"/>
                    <a:ea typeface="Roboto" panose="02000000000000000000" pitchFamily="2" charset="0"/>
                  </a:rPr>
                  <a:t>%</a:t>
                </a:r>
              </a:p>
            </c:rich>
          </c:tx>
          <c:layout>
            <c:manualLayout>
              <c:xMode val="edge"/>
              <c:yMode val="edge"/>
              <c:x val="5.5181819734572223E-2"/>
              <c:y val="5.3798759026089479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endParaRPr lang="en-US"/>
            </a:p>
          </c:txPr>
        </c:title>
        <c:numFmt formatCode="#,##0" sourceLinked="0"/>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799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019315582314874E-2"/>
          <c:y val="0.12230804699848168"/>
          <c:w val="0.89375842491065283"/>
          <c:h val="0.74708485975294148"/>
        </c:manualLayout>
      </c:layout>
      <c:barChart>
        <c:barDir val="col"/>
        <c:grouping val="stacked"/>
        <c:varyColors val="0"/>
        <c:ser>
          <c:idx val="2"/>
          <c:order val="1"/>
          <c:tx>
            <c:v>rango</c:v>
          </c:tx>
          <c:spPr>
            <a:solidFill>
              <a:srgbClr val="7DB749">
                <a:alpha val="50000"/>
              </a:srgbClr>
            </a:solid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01-3F1A-4E7A-BF0A-515F6E13EB28}"/>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03-3F1A-4E7A-BF0A-515F6E13EB28}"/>
              </c:ext>
            </c:extLst>
          </c:dPt>
          <c:dPt>
            <c:idx val="3"/>
            <c:invertIfNegative val="0"/>
            <c:bubble3D val="0"/>
            <c:spPr>
              <a:solidFill>
                <a:srgbClr val="7DB749">
                  <a:alpha val="50000"/>
                </a:srgbClr>
              </a:solidFill>
              <a:ln>
                <a:noFill/>
              </a:ln>
              <a:effectLst/>
            </c:spPr>
            <c:extLst>
              <c:ext xmlns:c16="http://schemas.microsoft.com/office/drawing/2014/chart" uri="{C3380CC4-5D6E-409C-BE32-E72D297353CC}">
                <c16:uniqueId val="{00000005-97E3-4A68-89F8-AD9976787D05}"/>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05-3F1A-4E7A-BF0A-515F6E13EB28}"/>
              </c:ext>
            </c:extLst>
          </c:dPt>
          <c:dPt>
            <c:idx val="5"/>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3F1A-4E7A-BF0A-515F6E13EB28}"/>
              </c:ext>
            </c:extLst>
          </c:dPt>
          <c:dPt>
            <c:idx val="6"/>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3F1A-4E7A-BF0A-515F6E13EB28}"/>
              </c:ext>
            </c:extLst>
          </c:dPt>
          <c:dPt>
            <c:idx val="8"/>
            <c:invertIfNegative val="0"/>
            <c:bubble3D val="0"/>
            <c:spPr>
              <a:noFill/>
              <a:ln>
                <a:noFill/>
              </a:ln>
              <a:effectLst/>
            </c:spPr>
            <c:extLst>
              <c:ext xmlns:c16="http://schemas.microsoft.com/office/drawing/2014/chart" uri="{C3380CC4-5D6E-409C-BE32-E72D297353CC}">
                <c16:uniqueId val="{0000000D-3F1A-4E7A-BF0A-515F6E13EB28}"/>
              </c:ext>
            </c:extLst>
          </c:dPt>
          <c:dPt>
            <c:idx val="9"/>
            <c:invertIfNegative val="0"/>
            <c:bubble3D val="0"/>
            <c:spPr>
              <a:noFill/>
              <a:ln>
                <a:noFill/>
              </a:ln>
              <a:effectLst/>
            </c:spPr>
            <c:extLst>
              <c:ext xmlns:c16="http://schemas.microsoft.com/office/drawing/2014/chart" uri="{C3380CC4-5D6E-409C-BE32-E72D297353CC}">
                <c16:uniqueId val="{0000001A-3F1A-4E7A-BF0A-515F6E13EB28}"/>
              </c:ext>
            </c:extLst>
          </c:dPt>
          <c:val>
            <c:numRef>
              <c:f>results_CS!$G$4:$G$13</c:f>
              <c:numCache>
                <c:formatCode>General</c:formatCode>
                <c:ptCount val="10"/>
                <c:pt idx="0">
                  <c:v>9.0405999999999993E-3</c:v>
                </c:pt>
                <c:pt idx="1">
                  <c:v>4.8634000000000004E-3</c:v>
                </c:pt>
                <c:pt idx="2">
                  <c:v>8.5380999999999999E-3</c:v>
                </c:pt>
                <c:pt idx="3">
                  <c:v>2.0741000000000002E-3</c:v>
                </c:pt>
                <c:pt idx="4">
                  <c:v>1.2316499999999999E-2</c:v>
                </c:pt>
                <c:pt idx="5">
                  <c:v>1.4207900000000001E-2</c:v>
                </c:pt>
                <c:pt idx="6">
                  <c:v>1.8782199999999999E-2</c:v>
                </c:pt>
                <c:pt idx="7">
                  <c:v>1.47276E-2</c:v>
                </c:pt>
                <c:pt idx="8">
                  <c:v>2.7464999999999998E-3</c:v>
                </c:pt>
                <c:pt idx="9">
                  <c:v>1.2673000000000001E-3</c:v>
                </c:pt>
              </c:numCache>
            </c:numRef>
          </c:val>
          <c:extLst>
            <c:ext xmlns:c16="http://schemas.microsoft.com/office/drawing/2014/chart" uri="{C3380CC4-5D6E-409C-BE32-E72D297353CC}">
              <c16:uniqueId val="{0000000E-3F1A-4E7A-BF0A-515F6E13EB28}"/>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B-3F1A-4E7A-BF0A-515F6E13EB28}"/>
              </c:ext>
            </c:extLst>
          </c:dPt>
          <c:dPt>
            <c:idx val="9"/>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C-3F1A-4E7A-BF0A-515F6E13EB28}"/>
              </c:ext>
            </c:extLst>
          </c:dPt>
          <c:val>
            <c:numRef>
              <c:f>results_CS!$F$4:$F$13</c:f>
              <c:numCache>
                <c:formatCode>General</c:formatCode>
                <c:ptCount val="10"/>
                <c:pt idx="0">
                  <c:v>-9.0366999999999999E-3</c:v>
                </c:pt>
                <c:pt idx="1">
                  <c:v>-1.1897700000000001E-2</c:v>
                </c:pt>
                <c:pt idx="2">
                  <c:v>-6.8783999999999998E-3</c:v>
                </c:pt>
                <c:pt idx="3">
                  <c:v>-1.30534E-2</c:v>
                </c:pt>
                <c:pt idx="4">
                  <c:v>-2.8936000000000001E-3</c:v>
                </c:pt>
                <c:pt idx="5">
                  <c:v>-6.9854000000000001E-3</c:v>
                </c:pt>
                <c:pt idx="6">
                  <c:v>-2.8392000000000001E-3</c:v>
                </c:pt>
                <c:pt idx="7">
                  <c:v>-2.5642999999999998E-3</c:v>
                </c:pt>
                <c:pt idx="8">
                  <c:v>1.9533700000000001E-2</c:v>
                </c:pt>
                <c:pt idx="9">
                  <c:v>2.2897399999999998E-2</c:v>
                </c:pt>
              </c:numCache>
            </c:numRef>
          </c:val>
          <c:extLst>
            <c:ext xmlns:c16="http://schemas.microsoft.com/office/drawing/2014/chart" uri="{C3380CC4-5D6E-409C-BE32-E72D297353CC}">
              <c16:uniqueId val="{0000000F-3F1A-4E7A-BF0A-515F6E13EB28}"/>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0-3F1A-4E7A-BF0A-515F6E13EB28}"/>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1-3F1A-4E7A-BF0A-515F6E13EB28}"/>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2-3F1A-4E7A-BF0A-515F6E13EB28}"/>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3-3F1A-4E7A-BF0A-515F6E13EB28}"/>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4-3F1A-4E7A-BF0A-515F6E13EB28}"/>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5-3F1A-4E7A-BF0A-515F6E13EB28}"/>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6-3F1A-4E7A-BF0A-515F6E13EB28}"/>
              </c:ext>
            </c:extLst>
          </c:dPt>
          <c:dPt>
            <c:idx val="8"/>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8-3F1A-4E7A-BF0A-515F6E13EB28}"/>
              </c:ext>
            </c:extLst>
          </c:dPt>
          <c:dPt>
            <c:idx val="9"/>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D-3F1A-4E7A-BF0A-515F6E13EB28}"/>
              </c:ext>
            </c:extLst>
          </c:dPt>
          <c:cat>
            <c:numRef>
              <c:f>results_CS!$A$4:$A$13</c:f>
              <c:numCache>
                <c:formatCode>General</c:formatCode>
                <c:ptCount val="10"/>
                <c:pt idx="0">
                  <c:v>-8</c:v>
                </c:pt>
                <c:pt idx="1">
                  <c:v>-7</c:v>
                </c:pt>
                <c:pt idx="2">
                  <c:v>-6</c:v>
                </c:pt>
                <c:pt idx="3">
                  <c:v>-5</c:v>
                </c:pt>
                <c:pt idx="4">
                  <c:v>-4</c:v>
                </c:pt>
                <c:pt idx="5">
                  <c:v>-3</c:v>
                </c:pt>
                <c:pt idx="6">
                  <c:v>-2</c:v>
                </c:pt>
                <c:pt idx="7">
                  <c:v>-1</c:v>
                </c:pt>
                <c:pt idx="8">
                  <c:v>0</c:v>
                </c:pt>
                <c:pt idx="9">
                  <c:v>1</c:v>
                </c:pt>
              </c:numCache>
            </c:numRef>
          </c:cat>
          <c:val>
            <c:numRef>
              <c:f>results_CS!$B$4:$B$13</c:f>
              <c:numCache>
                <c:formatCode>General</c:formatCode>
                <c:ptCount val="10"/>
                <c:pt idx="0">
                  <c:v>1.9700000000000002E-6</c:v>
                </c:pt>
                <c:pt idx="1">
                  <c:v>-3.5171E-3</c:v>
                </c:pt>
                <c:pt idx="2">
                  <c:v>8.298E-4</c:v>
                </c:pt>
                <c:pt idx="3">
                  <c:v>-5.4897000000000001E-3</c:v>
                </c:pt>
                <c:pt idx="4">
                  <c:v>4.7115000000000004E-3</c:v>
                </c:pt>
                <c:pt idx="5">
                  <c:v>3.6113E-3</c:v>
                </c:pt>
                <c:pt idx="6">
                  <c:v>7.9714999999999994E-3</c:v>
                </c:pt>
                <c:pt idx="7">
                  <c:v>6.0816000000000004E-3</c:v>
                </c:pt>
                <c:pt idx="8">
                  <c:v>1.11401E-2</c:v>
                </c:pt>
                <c:pt idx="9">
                  <c:v>1.2082300000000001E-2</c:v>
                </c:pt>
              </c:numCache>
            </c:numRef>
          </c:val>
          <c:smooth val="0"/>
          <c:extLst>
            <c:ext xmlns:c16="http://schemas.microsoft.com/office/drawing/2014/chart" uri="{C3380CC4-5D6E-409C-BE32-E72D297353CC}">
              <c16:uniqueId val="{00000019-3F1A-4E7A-BF0A-515F6E13EB28}"/>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0000"/>
                    </a:solidFill>
                    <a:latin typeface="Roboto" panose="02000000000000000000" pitchFamily="2" charset="0"/>
                    <a:ea typeface="Roboto"/>
                    <a:cs typeface="Roboto"/>
                  </a:defRPr>
                </a:pPr>
                <a:r>
                  <a:rPr lang="en-US">
                    <a:latin typeface="Roboto" panose="02000000000000000000" pitchFamily="2" charset="0"/>
                  </a:rPr>
                  <a:t>Años desde la</a:t>
                </a:r>
                <a:r>
                  <a:rPr lang="en-US" baseline="0">
                    <a:latin typeface="Roboto" panose="02000000000000000000" pitchFamily="2" charset="0"/>
                  </a:rPr>
                  <a:t> concesión</a:t>
                </a:r>
                <a:endParaRPr lang="en-US">
                  <a:latin typeface="Roboto" panose="02000000000000000000" pitchFamily="2" charset="0"/>
                </a:endParaRPr>
              </a:p>
            </c:rich>
          </c:tx>
          <c:layout>
            <c:manualLayout>
              <c:xMode val="edge"/>
              <c:yMode val="edge"/>
              <c:x val="0.77623726314130914"/>
              <c:y val="0.9520717498282446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cross"/>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scaling>
        <c:delete val="0"/>
        <c:axPos val="l"/>
        <c:majorGridlines>
          <c:spPr>
            <a:ln w="5080" cap="flat" cmpd="sng" algn="ctr">
              <a:solidFill>
                <a:srgbClr val="7F7F7F"/>
              </a:solidFill>
              <a:prstDash val="dash"/>
              <a:round/>
            </a:ln>
            <a:effectLst/>
          </c:spPr>
        </c:majorGridlines>
        <c:title>
          <c:tx>
            <c:rich>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r>
                  <a:rPr lang="en-US">
                    <a:latin typeface="Roboto" panose="02000000000000000000" pitchFamily="2" charset="0"/>
                    <a:ea typeface="Roboto" panose="02000000000000000000" pitchFamily="2" charset="0"/>
                  </a:rPr>
                  <a:t>log-puntos </a:t>
                </a:r>
              </a:p>
            </c:rich>
          </c:tx>
          <c:layout>
            <c:manualLayout>
              <c:xMode val="edge"/>
              <c:yMode val="edge"/>
              <c:x val="8.1403415842791774E-2"/>
              <c:y val="5.4570751171285285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endParaRPr lang="en-US"/>
            </a:p>
          </c:txPr>
        </c:title>
        <c:numFmt formatCode="#,##0.00" sourceLinked="0"/>
        <c:majorTickMark val="in"/>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77999"/>
        <c:crosses val="autoZero"/>
        <c:crossBetween val="between"/>
        <c:majorUnit val="1.0000000000000002E-2"/>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77271077568056E-2"/>
          <c:y val="0.12230807679712349"/>
          <c:w val="0.78904217933486753"/>
          <c:h val="0.74708485975294148"/>
        </c:manualLayout>
      </c:layout>
      <c:barChart>
        <c:barDir val="col"/>
        <c:grouping val="stacked"/>
        <c:varyColors val="0"/>
        <c:ser>
          <c:idx val="2"/>
          <c:order val="1"/>
          <c:tx>
            <c:v>rango</c:v>
          </c:tx>
          <c:spPr>
            <a:solidFill>
              <a:srgbClr val="7DB749">
                <a:alpha val="50000"/>
              </a:srgbClr>
            </a:solid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01-E3FE-41D6-B5E3-56E4D43606C4}"/>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03-E3FE-41D6-B5E3-56E4D43606C4}"/>
              </c:ext>
            </c:extLst>
          </c:dPt>
          <c:dPt>
            <c:idx val="3"/>
            <c:invertIfNegative val="0"/>
            <c:bubble3D val="0"/>
            <c:spPr>
              <a:solidFill>
                <a:srgbClr val="7DB749">
                  <a:alpha val="50000"/>
                </a:srgbClr>
              </a:solidFill>
              <a:ln>
                <a:noFill/>
              </a:ln>
              <a:effectLst/>
            </c:spPr>
            <c:extLst>
              <c:ext xmlns:c16="http://schemas.microsoft.com/office/drawing/2014/chart" uri="{C3380CC4-5D6E-409C-BE32-E72D297353CC}">
                <c16:uniqueId val="{00000005-E3FE-41D6-B5E3-56E4D43606C4}"/>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07-E3FE-41D6-B5E3-56E4D43606C4}"/>
              </c:ext>
            </c:extLst>
          </c:dPt>
          <c:dPt>
            <c:idx val="5"/>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E3FE-41D6-B5E3-56E4D43606C4}"/>
              </c:ext>
            </c:extLst>
          </c:dPt>
          <c:dPt>
            <c:idx val="6"/>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E3FE-41D6-B5E3-56E4D43606C4}"/>
              </c:ext>
            </c:extLst>
          </c:dPt>
          <c:dPt>
            <c:idx val="8"/>
            <c:invertIfNegative val="0"/>
            <c:bubble3D val="0"/>
            <c:spPr>
              <a:noFill/>
              <a:ln>
                <a:noFill/>
              </a:ln>
              <a:effectLst/>
            </c:spPr>
            <c:extLst>
              <c:ext xmlns:c16="http://schemas.microsoft.com/office/drawing/2014/chart" uri="{C3380CC4-5D6E-409C-BE32-E72D297353CC}">
                <c16:uniqueId val="{0000000D-E3FE-41D6-B5E3-56E4D43606C4}"/>
              </c:ext>
            </c:extLst>
          </c:dPt>
          <c:dPt>
            <c:idx val="9"/>
            <c:invertIfNegative val="0"/>
            <c:bubble3D val="0"/>
            <c:spPr>
              <a:noFill/>
              <a:ln>
                <a:noFill/>
              </a:ln>
              <a:effectLst/>
            </c:spPr>
            <c:extLst>
              <c:ext xmlns:c16="http://schemas.microsoft.com/office/drawing/2014/chart" uri="{C3380CC4-5D6E-409C-BE32-E72D297353CC}">
                <c16:uniqueId val="{0000000F-E3FE-41D6-B5E3-56E4D43606C4}"/>
              </c:ext>
            </c:extLst>
          </c:dPt>
          <c:val>
            <c:numRef>
              <c:f>'results_CS (%)'!$G$4:$G$13</c:f>
              <c:numCache>
                <c:formatCode>General</c:formatCode>
                <c:ptCount val="10"/>
                <c:pt idx="0">
                  <c:v>0.90405999999999997</c:v>
                </c:pt>
                <c:pt idx="1">
                  <c:v>0.48634000000000005</c:v>
                </c:pt>
                <c:pt idx="2">
                  <c:v>0.85380999999999996</c:v>
                </c:pt>
                <c:pt idx="3">
                  <c:v>0.20741000000000001</c:v>
                </c:pt>
                <c:pt idx="4">
                  <c:v>1.2316499999999999</c:v>
                </c:pt>
                <c:pt idx="5">
                  <c:v>1.42079</c:v>
                </c:pt>
                <c:pt idx="6">
                  <c:v>1.8782199999999998</c:v>
                </c:pt>
                <c:pt idx="7">
                  <c:v>1.4727600000000001</c:v>
                </c:pt>
                <c:pt idx="8">
                  <c:v>0.27465000000000001</c:v>
                </c:pt>
                <c:pt idx="9">
                  <c:v>0.12673000000000001</c:v>
                </c:pt>
              </c:numCache>
            </c:numRef>
          </c:val>
          <c:extLst>
            <c:ext xmlns:c16="http://schemas.microsoft.com/office/drawing/2014/chart" uri="{C3380CC4-5D6E-409C-BE32-E72D297353CC}">
              <c16:uniqueId val="{00000010-E3FE-41D6-B5E3-56E4D43606C4}"/>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2-E3FE-41D6-B5E3-56E4D43606C4}"/>
              </c:ext>
            </c:extLst>
          </c:dPt>
          <c:dPt>
            <c:idx val="9"/>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4-E3FE-41D6-B5E3-56E4D43606C4}"/>
              </c:ext>
            </c:extLst>
          </c:dPt>
          <c:val>
            <c:numRef>
              <c:f>'results_CS (%)'!$F$4:$F$13</c:f>
              <c:numCache>
                <c:formatCode>General</c:formatCode>
                <c:ptCount val="10"/>
                <c:pt idx="0">
                  <c:v>-0.90366999999999997</c:v>
                </c:pt>
                <c:pt idx="1">
                  <c:v>-1.18977</c:v>
                </c:pt>
                <c:pt idx="2">
                  <c:v>-0.68784000000000001</c:v>
                </c:pt>
                <c:pt idx="3">
                  <c:v>-1.3053399999999999</c:v>
                </c:pt>
                <c:pt idx="4">
                  <c:v>-0.28936000000000001</c:v>
                </c:pt>
                <c:pt idx="5">
                  <c:v>-0.69854000000000005</c:v>
                </c:pt>
                <c:pt idx="6">
                  <c:v>-0.28392000000000001</c:v>
                </c:pt>
                <c:pt idx="7">
                  <c:v>-0.25642999999999999</c:v>
                </c:pt>
                <c:pt idx="8">
                  <c:v>1.9533700000000001</c:v>
                </c:pt>
                <c:pt idx="9">
                  <c:v>2.2897399999999997</c:v>
                </c:pt>
              </c:numCache>
            </c:numRef>
          </c:val>
          <c:extLst>
            <c:ext xmlns:c16="http://schemas.microsoft.com/office/drawing/2014/chart" uri="{C3380CC4-5D6E-409C-BE32-E72D297353CC}">
              <c16:uniqueId val="{00000015-E3FE-41D6-B5E3-56E4D43606C4}"/>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6-E3FE-41D6-B5E3-56E4D43606C4}"/>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7-E3FE-41D6-B5E3-56E4D43606C4}"/>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8-E3FE-41D6-B5E3-56E4D43606C4}"/>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9-E3FE-41D6-B5E3-56E4D43606C4}"/>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A-E3FE-41D6-B5E3-56E4D43606C4}"/>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B-E3FE-41D6-B5E3-56E4D43606C4}"/>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C-E3FE-41D6-B5E3-56E4D43606C4}"/>
              </c:ext>
            </c:extLst>
          </c:dPt>
          <c:dPt>
            <c:idx val="8"/>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D-E3FE-41D6-B5E3-56E4D43606C4}"/>
              </c:ext>
            </c:extLst>
          </c:dPt>
          <c:dPt>
            <c:idx val="9"/>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E-E3FE-41D6-B5E3-56E4D43606C4}"/>
              </c:ext>
            </c:extLst>
          </c:dPt>
          <c:cat>
            <c:numRef>
              <c:f>'results_CS (%)'!$A$4:$A$13</c:f>
              <c:numCache>
                <c:formatCode>General</c:formatCode>
                <c:ptCount val="10"/>
                <c:pt idx="0">
                  <c:v>-8</c:v>
                </c:pt>
                <c:pt idx="1">
                  <c:v>-7</c:v>
                </c:pt>
                <c:pt idx="2">
                  <c:v>-6</c:v>
                </c:pt>
                <c:pt idx="3">
                  <c:v>-5</c:v>
                </c:pt>
                <c:pt idx="4">
                  <c:v>-4</c:v>
                </c:pt>
                <c:pt idx="5">
                  <c:v>-3</c:v>
                </c:pt>
                <c:pt idx="6">
                  <c:v>-2</c:v>
                </c:pt>
                <c:pt idx="7">
                  <c:v>-1</c:v>
                </c:pt>
                <c:pt idx="8">
                  <c:v>0</c:v>
                </c:pt>
                <c:pt idx="9">
                  <c:v>1</c:v>
                </c:pt>
              </c:numCache>
            </c:numRef>
          </c:cat>
          <c:val>
            <c:numRef>
              <c:f>'results_CS (%)'!$B$4:$B$13</c:f>
              <c:numCache>
                <c:formatCode>General</c:formatCode>
                <c:ptCount val="10"/>
                <c:pt idx="0">
                  <c:v>1.9700000000000002E-4</c:v>
                </c:pt>
                <c:pt idx="1">
                  <c:v>-0.35171000000000002</c:v>
                </c:pt>
                <c:pt idx="2">
                  <c:v>8.2979999999999998E-2</c:v>
                </c:pt>
                <c:pt idx="3">
                  <c:v>-0.54896999999999996</c:v>
                </c:pt>
                <c:pt idx="4">
                  <c:v>0.47115000000000007</c:v>
                </c:pt>
                <c:pt idx="5">
                  <c:v>0.36113000000000001</c:v>
                </c:pt>
                <c:pt idx="6">
                  <c:v>0.79714999999999991</c:v>
                </c:pt>
                <c:pt idx="7">
                  <c:v>0.60816000000000003</c:v>
                </c:pt>
                <c:pt idx="8">
                  <c:v>1.1140099999999999</c:v>
                </c:pt>
                <c:pt idx="9">
                  <c:v>1.2082300000000001</c:v>
                </c:pt>
              </c:numCache>
            </c:numRef>
          </c:val>
          <c:smooth val="0"/>
          <c:extLst>
            <c:ext xmlns:c16="http://schemas.microsoft.com/office/drawing/2014/chart" uri="{C3380CC4-5D6E-409C-BE32-E72D297353CC}">
              <c16:uniqueId val="{0000001F-E3FE-41D6-B5E3-56E4D43606C4}"/>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r>
                  <a:rPr lang="en-US" sz="700">
                    <a:latin typeface="Roboto" panose="02000000000000000000" pitchFamily="2" charset="0"/>
                  </a:rPr>
                  <a:t>Años desde la</a:t>
                </a:r>
                <a:r>
                  <a:rPr lang="en-US" sz="700" baseline="0">
                    <a:latin typeface="Roboto" panose="02000000000000000000" pitchFamily="2" charset="0"/>
                  </a:rPr>
                  <a:t> concesión</a:t>
                </a:r>
                <a:endParaRPr lang="en-US" sz="700">
                  <a:latin typeface="Roboto" panose="02000000000000000000" pitchFamily="2" charset="0"/>
                </a:endParaRPr>
              </a:p>
            </c:rich>
          </c:tx>
          <c:layout>
            <c:manualLayout>
              <c:xMode val="edge"/>
              <c:yMode val="edge"/>
              <c:x val="0.64329392607608382"/>
              <c:y val="0.93764857881136954"/>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8479"/>
        <c:crossesAt val="-2"/>
        <c:auto val="1"/>
        <c:lblAlgn val="ctr"/>
        <c:lblOffset val="100"/>
        <c:noMultiLvlLbl val="0"/>
      </c:catAx>
      <c:valAx>
        <c:axId val="27778479"/>
        <c:scaling>
          <c:orientation val="minMax"/>
        </c:scaling>
        <c:delete val="0"/>
        <c:axPos val="l"/>
        <c:majorGridlines>
          <c:spPr>
            <a:ln w="3810" cap="flat" cmpd="sng" algn="ctr">
              <a:solidFill>
                <a:srgbClr val="A6A6A6"/>
              </a:solidFill>
              <a:prstDash val="solid"/>
              <a:round/>
            </a:ln>
            <a:effectLst/>
          </c:spPr>
        </c:majorGridlines>
        <c:title>
          <c:tx>
            <c:rich>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r>
                  <a:rPr lang="en-US" sz="700">
                    <a:latin typeface="Roboto" panose="02000000000000000000" pitchFamily="2" charset="0"/>
                    <a:ea typeface="Roboto" panose="02000000000000000000" pitchFamily="2" charset="0"/>
                  </a:rPr>
                  <a:t>%</a:t>
                </a:r>
              </a:p>
            </c:rich>
          </c:tx>
          <c:layout>
            <c:manualLayout>
              <c:xMode val="edge"/>
              <c:yMode val="edge"/>
              <c:x val="5.7396807800311284E-2"/>
              <c:y val="5.4570651258805142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00"/>
                  </a:solidFill>
                  <a:latin typeface="BdE Neue Helvetica 45 Light"/>
                  <a:ea typeface="BdE Neue Helvetica 45 Light"/>
                  <a:cs typeface="BdE Neue Helvetica 45 Light"/>
                </a:defRPr>
              </a:pPr>
              <a:endParaRPr lang="en-US"/>
            </a:p>
          </c:txPr>
        </c:title>
        <c:numFmt formatCode="#,##0" sourceLinked="0"/>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7999"/>
        <c:crosses val="autoZero"/>
        <c:crossBetween val="between"/>
        <c:majorUnit val="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019315582314874E-2"/>
          <c:y val="0.12230804699848168"/>
          <c:w val="0.89375842491065283"/>
          <c:h val="0.74708485975294148"/>
        </c:manualLayout>
      </c:layout>
      <c:barChart>
        <c:barDir val="col"/>
        <c:grouping val="stacked"/>
        <c:varyColors val="0"/>
        <c:ser>
          <c:idx val="2"/>
          <c:order val="1"/>
          <c:tx>
            <c:v>rango</c:v>
          </c:tx>
          <c:spPr>
            <a:solidFill>
              <a:srgbClr val="7DB749">
                <a:alpha val="50000"/>
              </a:srgbClr>
            </a:solid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01-D430-417D-B4AF-95B760067317}"/>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03-D430-417D-B4AF-95B760067317}"/>
              </c:ext>
            </c:extLst>
          </c:dPt>
          <c:dPt>
            <c:idx val="3"/>
            <c:invertIfNegative val="0"/>
            <c:bubble3D val="0"/>
            <c:spPr>
              <a:solidFill>
                <a:srgbClr val="7DB749">
                  <a:alpha val="50000"/>
                </a:srgbClr>
              </a:solidFill>
              <a:ln>
                <a:noFill/>
              </a:ln>
              <a:effectLst/>
            </c:spPr>
            <c:extLst>
              <c:ext xmlns:c16="http://schemas.microsoft.com/office/drawing/2014/chart" uri="{C3380CC4-5D6E-409C-BE32-E72D297353CC}">
                <c16:uniqueId val="{00000005-D430-417D-B4AF-95B760067317}"/>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07-D430-417D-B4AF-95B760067317}"/>
              </c:ext>
            </c:extLst>
          </c:dPt>
          <c:dPt>
            <c:idx val="5"/>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D430-417D-B4AF-95B760067317}"/>
              </c:ext>
            </c:extLst>
          </c:dPt>
          <c:dPt>
            <c:idx val="6"/>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D430-417D-B4AF-95B760067317}"/>
              </c:ext>
            </c:extLst>
          </c:dPt>
          <c:dPt>
            <c:idx val="8"/>
            <c:invertIfNegative val="0"/>
            <c:bubble3D val="0"/>
            <c:spPr>
              <a:noFill/>
              <a:ln>
                <a:noFill/>
              </a:ln>
              <a:effectLst/>
            </c:spPr>
            <c:extLst>
              <c:ext xmlns:c16="http://schemas.microsoft.com/office/drawing/2014/chart" uri="{C3380CC4-5D6E-409C-BE32-E72D297353CC}">
                <c16:uniqueId val="{0000000D-D430-417D-B4AF-95B760067317}"/>
              </c:ext>
            </c:extLst>
          </c:dPt>
          <c:dPt>
            <c:idx val="9"/>
            <c:invertIfNegative val="0"/>
            <c:bubble3D val="0"/>
            <c:spPr>
              <a:noFill/>
              <a:ln>
                <a:noFill/>
              </a:ln>
              <a:effectLst/>
            </c:spPr>
            <c:extLst>
              <c:ext xmlns:c16="http://schemas.microsoft.com/office/drawing/2014/chart" uri="{C3380CC4-5D6E-409C-BE32-E72D297353CC}">
                <c16:uniqueId val="{0000000F-D430-417D-B4AF-95B760067317}"/>
              </c:ext>
            </c:extLst>
          </c:dPt>
          <c:val>
            <c:numRef>
              <c:f>results_intangibles!$G$4:$G$13</c:f>
              <c:numCache>
                <c:formatCode>General</c:formatCode>
                <c:ptCount val="10"/>
                <c:pt idx="0">
                  <c:v>0.46438000000000001</c:v>
                </c:pt>
                <c:pt idx="1">
                  <c:v>0.22396999999999997</c:v>
                </c:pt>
                <c:pt idx="2">
                  <c:v>0.37045</c:v>
                </c:pt>
                <c:pt idx="3">
                  <c:v>0.34734999999999999</c:v>
                </c:pt>
                <c:pt idx="4">
                  <c:v>0.22856000000000001</c:v>
                </c:pt>
                <c:pt idx="5">
                  <c:v>0.37046000000000001</c:v>
                </c:pt>
                <c:pt idx="6">
                  <c:v>0.19012000000000001</c:v>
                </c:pt>
                <c:pt idx="7">
                  <c:v>0.52051000000000003</c:v>
                </c:pt>
                <c:pt idx="8">
                  <c:v>1.1180399999999999</c:v>
                </c:pt>
                <c:pt idx="9">
                  <c:v>0.26329999999999998</c:v>
                </c:pt>
              </c:numCache>
            </c:numRef>
          </c:val>
          <c:extLst>
            <c:ext xmlns:c16="http://schemas.microsoft.com/office/drawing/2014/chart" uri="{C3380CC4-5D6E-409C-BE32-E72D297353CC}">
              <c16:uniqueId val="{00000010-D430-417D-B4AF-95B760067317}"/>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2-D430-417D-B4AF-95B760067317}"/>
              </c:ext>
            </c:extLst>
          </c:dPt>
          <c:dPt>
            <c:idx val="9"/>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4-D430-417D-B4AF-95B760067317}"/>
              </c:ext>
            </c:extLst>
          </c:dPt>
          <c:val>
            <c:numRef>
              <c:f>results_intangibles!$F$4:$F$13</c:f>
              <c:numCache>
                <c:formatCode>General</c:formatCode>
                <c:ptCount val="10"/>
                <c:pt idx="0">
                  <c:v>-0.29743000000000003</c:v>
                </c:pt>
                <c:pt idx="1">
                  <c:v>-0.50158000000000003</c:v>
                </c:pt>
                <c:pt idx="2">
                  <c:v>-0.35500999999999999</c:v>
                </c:pt>
                <c:pt idx="3">
                  <c:v>-0.35398999999999997</c:v>
                </c:pt>
                <c:pt idx="4">
                  <c:v>-0.45694000000000001</c:v>
                </c:pt>
                <c:pt idx="5">
                  <c:v>-0.29821999999999999</c:v>
                </c:pt>
                <c:pt idx="6">
                  <c:v>-0.45630000000000004</c:v>
                </c:pt>
                <c:pt idx="7">
                  <c:v>-0.12143</c:v>
                </c:pt>
                <c:pt idx="8">
                  <c:v>0.68089999999999995</c:v>
                </c:pt>
                <c:pt idx="9">
                  <c:v>1.00366</c:v>
                </c:pt>
              </c:numCache>
            </c:numRef>
          </c:val>
          <c:extLst>
            <c:ext xmlns:c16="http://schemas.microsoft.com/office/drawing/2014/chart" uri="{C3380CC4-5D6E-409C-BE32-E72D297353CC}">
              <c16:uniqueId val="{00000015-D430-417D-B4AF-95B760067317}"/>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6-D430-417D-B4AF-95B760067317}"/>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7-D430-417D-B4AF-95B760067317}"/>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8-D430-417D-B4AF-95B760067317}"/>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9-D430-417D-B4AF-95B760067317}"/>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A-D430-417D-B4AF-95B760067317}"/>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B-D430-417D-B4AF-95B760067317}"/>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C-D430-417D-B4AF-95B760067317}"/>
              </c:ext>
            </c:extLst>
          </c:dPt>
          <c:dPt>
            <c:idx val="8"/>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D-D430-417D-B4AF-95B760067317}"/>
              </c:ext>
            </c:extLst>
          </c:dPt>
          <c:dPt>
            <c:idx val="9"/>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E-D430-417D-B4AF-95B760067317}"/>
              </c:ext>
            </c:extLst>
          </c:dPt>
          <c:cat>
            <c:numRef>
              <c:f>results_intangibles!$A$4:$A$13</c:f>
              <c:numCache>
                <c:formatCode>General</c:formatCode>
                <c:ptCount val="10"/>
                <c:pt idx="0">
                  <c:v>-8</c:v>
                </c:pt>
                <c:pt idx="1">
                  <c:v>-7</c:v>
                </c:pt>
                <c:pt idx="2">
                  <c:v>-6</c:v>
                </c:pt>
                <c:pt idx="3">
                  <c:v>-5</c:v>
                </c:pt>
                <c:pt idx="4">
                  <c:v>-4</c:v>
                </c:pt>
                <c:pt idx="5">
                  <c:v>-3</c:v>
                </c:pt>
                <c:pt idx="6">
                  <c:v>-2</c:v>
                </c:pt>
                <c:pt idx="7">
                  <c:v>-1</c:v>
                </c:pt>
                <c:pt idx="8">
                  <c:v>0</c:v>
                </c:pt>
                <c:pt idx="9">
                  <c:v>1</c:v>
                </c:pt>
              </c:numCache>
            </c:numRef>
          </c:cat>
          <c:val>
            <c:numRef>
              <c:f>results_intangibles!$B$4:$B$13</c:f>
              <c:numCache>
                <c:formatCode>General</c:formatCode>
                <c:ptCount val="10"/>
                <c:pt idx="0">
                  <c:v>8.3479999999999999E-2</c:v>
                </c:pt>
                <c:pt idx="1">
                  <c:v>-0.13879999999999998</c:v>
                </c:pt>
                <c:pt idx="2">
                  <c:v>7.7200000000000003E-3</c:v>
                </c:pt>
                <c:pt idx="3">
                  <c:v>-3.32E-3</c:v>
                </c:pt>
                <c:pt idx="4">
                  <c:v>-0.11419</c:v>
                </c:pt>
                <c:pt idx="5">
                  <c:v>3.6119999999999999E-2</c:v>
                </c:pt>
                <c:pt idx="6">
                  <c:v>-0.13309000000000001</c:v>
                </c:pt>
                <c:pt idx="7">
                  <c:v>0.19954</c:v>
                </c:pt>
                <c:pt idx="8">
                  <c:v>1.4584900000000001</c:v>
                </c:pt>
                <c:pt idx="9">
                  <c:v>0.76512999999999998</c:v>
                </c:pt>
              </c:numCache>
            </c:numRef>
          </c:val>
          <c:smooth val="0"/>
          <c:extLst>
            <c:ext xmlns:c16="http://schemas.microsoft.com/office/drawing/2014/chart" uri="{C3380CC4-5D6E-409C-BE32-E72D297353CC}">
              <c16:uniqueId val="{0000001F-D430-417D-B4AF-95B760067317}"/>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0000"/>
                    </a:solidFill>
                    <a:latin typeface="Roboto" panose="02000000000000000000" pitchFamily="2" charset="0"/>
                    <a:ea typeface="Roboto"/>
                    <a:cs typeface="Roboto"/>
                  </a:defRPr>
                </a:pPr>
                <a:r>
                  <a:rPr lang="en-US">
                    <a:latin typeface="Roboto" panose="02000000000000000000" pitchFamily="2" charset="0"/>
                  </a:rPr>
                  <a:t>Años desde la</a:t>
                </a:r>
                <a:r>
                  <a:rPr lang="en-US" baseline="0">
                    <a:latin typeface="Roboto" panose="02000000000000000000" pitchFamily="2" charset="0"/>
                  </a:rPr>
                  <a:t> concesión</a:t>
                </a:r>
                <a:endParaRPr lang="en-US">
                  <a:latin typeface="Roboto" panose="02000000000000000000" pitchFamily="2" charset="0"/>
                </a:endParaRPr>
              </a:p>
            </c:rich>
          </c:tx>
          <c:layout>
            <c:manualLayout>
              <c:xMode val="edge"/>
              <c:yMode val="edge"/>
              <c:x val="0.77623726314130914"/>
              <c:y val="0.9520717498282446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cross"/>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max val="2"/>
        </c:scaling>
        <c:delete val="0"/>
        <c:axPos val="l"/>
        <c:majorGridlines>
          <c:spPr>
            <a:ln w="5080" cap="flat" cmpd="sng" algn="ctr">
              <a:solidFill>
                <a:srgbClr val="7F7F7F"/>
              </a:solidFill>
              <a:prstDash val="dash"/>
              <a:round/>
            </a:ln>
            <a:effectLst/>
          </c:spPr>
        </c:majorGridlines>
        <c:numFmt formatCode="#,##0.0" sourceLinked="0"/>
        <c:majorTickMark val="in"/>
        <c:minorTickMark val="none"/>
        <c:tickLblPos val="low"/>
        <c:spPr>
          <a:noFill/>
          <a:ln w="508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050" b="0" i="0" u="none" strike="noStrike" kern="1200" baseline="0">
                <a:solidFill>
                  <a:srgbClr val="000000"/>
                </a:solidFill>
                <a:latin typeface="Roboto"/>
                <a:ea typeface="Roboto"/>
                <a:cs typeface="Roboto"/>
              </a:defRPr>
            </a:pPr>
            <a:endParaRPr lang="es-ES_tradnl"/>
          </a:p>
        </c:txPr>
        <c:crossAx val="2777799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028670330721894E-2"/>
          <c:y val="0.15565190972222223"/>
          <c:w val="0.63281506783772212"/>
          <c:h val="0.69917534722222219"/>
        </c:manualLayout>
      </c:layout>
      <c:barChart>
        <c:barDir val="col"/>
        <c:grouping val="stacked"/>
        <c:varyColors val="0"/>
        <c:ser>
          <c:idx val="2"/>
          <c:order val="1"/>
          <c:tx>
            <c:v>rango</c:v>
          </c:tx>
          <c:spPr>
            <a:solidFill>
              <a:srgbClr val="7DB749">
                <a:alpha val="50000"/>
              </a:srgbClr>
            </a:solidFill>
            <a:ln>
              <a:noFill/>
            </a:ln>
            <a:effectLst/>
          </c:spPr>
          <c:invertIfNegative val="0"/>
          <c:dPt>
            <c:idx val="0"/>
            <c:invertIfNegative val="0"/>
            <c:bubble3D val="0"/>
            <c:spPr>
              <a:solidFill>
                <a:srgbClr val="7DB749">
                  <a:alpha val="50000"/>
                </a:srgbClr>
              </a:solidFill>
              <a:ln>
                <a:noFill/>
              </a:ln>
              <a:effectLst/>
            </c:spPr>
            <c:extLst>
              <c:ext xmlns:c16="http://schemas.microsoft.com/office/drawing/2014/chart" uri="{C3380CC4-5D6E-409C-BE32-E72D297353CC}">
                <c16:uniqueId val="{00000001-60B0-432F-9A01-1549F468616A}"/>
              </c:ext>
            </c:extLst>
          </c:dPt>
          <c:dPt>
            <c:idx val="2"/>
            <c:invertIfNegative val="0"/>
            <c:bubble3D val="0"/>
            <c:spPr>
              <a:solidFill>
                <a:srgbClr val="7DB749">
                  <a:alpha val="50000"/>
                </a:srgbClr>
              </a:solidFill>
              <a:ln>
                <a:noFill/>
              </a:ln>
              <a:effectLst/>
            </c:spPr>
            <c:extLst>
              <c:ext xmlns:c16="http://schemas.microsoft.com/office/drawing/2014/chart" uri="{C3380CC4-5D6E-409C-BE32-E72D297353CC}">
                <c16:uniqueId val="{00000003-60B0-432F-9A01-1549F468616A}"/>
              </c:ext>
            </c:extLst>
          </c:dPt>
          <c:dPt>
            <c:idx val="3"/>
            <c:invertIfNegative val="0"/>
            <c:bubble3D val="0"/>
            <c:spPr>
              <a:solidFill>
                <a:srgbClr val="7DB749">
                  <a:alpha val="50000"/>
                </a:srgbClr>
              </a:solidFill>
              <a:ln>
                <a:noFill/>
              </a:ln>
              <a:effectLst/>
            </c:spPr>
            <c:extLst>
              <c:ext xmlns:c16="http://schemas.microsoft.com/office/drawing/2014/chart" uri="{C3380CC4-5D6E-409C-BE32-E72D297353CC}">
                <c16:uniqueId val="{00000005-60B0-432F-9A01-1549F468616A}"/>
              </c:ext>
            </c:extLst>
          </c:dPt>
          <c:dPt>
            <c:idx val="4"/>
            <c:invertIfNegative val="0"/>
            <c:bubble3D val="0"/>
            <c:spPr>
              <a:solidFill>
                <a:srgbClr val="7DB749">
                  <a:alpha val="50000"/>
                </a:srgbClr>
              </a:solidFill>
              <a:ln>
                <a:noFill/>
              </a:ln>
              <a:effectLst/>
            </c:spPr>
            <c:extLst>
              <c:ext xmlns:c16="http://schemas.microsoft.com/office/drawing/2014/chart" uri="{C3380CC4-5D6E-409C-BE32-E72D297353CC}">
                <c16:uniqueId val="{00000007-60B0-432F-9A01-1549F468616A}"/>
              </c:ext>
            </c:extLst>
          </c:dPt>
          <c:dPt>
            <c:idx val="5"/>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60B0-432F-9A01-1549F468616A}"/>
              </c:ext>
            </c:extLst>
          </c:dPt>
          <c:dPt>
            <c:idx val="6"/>
            <c:invertIfNegative val="0"/>
            <c:bubble3D val="0"/>
            <c:spPr>
              <a:solidFill>
                <a:srgbClr val="7DB749">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60B0-432F-9A01-1549F468616A}"/>
              </c:ext>
            </c:extLst>
          </c:dPt>
          <c:dPt>
            <c:idx val="7"/>
            <c:invertIfNegative val="0"/>
            <c:bubble3D val="0"/>
            <c:spPr>
              <a:noFill/>
              <a:ln>
                <a:noFill/>
              </a:ln>
              <a:effectLst/>
            </c:spPr>
            <c:extLst>
              <c:ext xmlns:c16="http://schemas.microsoft.com/office/drawing/2014/chart" uri="{C3380CC4-5D6E-409C-BE32-E72D297353CC}">
                <c16:uniqueId val="{0000000D-60B0-432F-9A01-1549F468616A}"/>
              </c:ext>
            </c:extLst>
          </c:dPt>
          <c:dPt>
            <c:idx val="8"/>
            <c:invertIfNegative val="0"/>
            <c:bubble3D val="0"/>
            <c:spPr>
              <a:noFill/>
              <a:ln>
                <a:noFill/>
              </a:ln>
              <a:effectLst/>
            </c:spPr>
            <c:extLst>
              <c:ext xmlns:c16="http://schemas.microsoft.com/office/drawing/2014/chart" uri="{C3380CC4-5D6E-409C-BE32-E72D297353CC}">
                <c16:uniqueId val="{0000000F-60B0-432F-9A01-1549F468616A}"/>
              </c:ext>
            </c:extLst>
          </c:dPt>
          <c:dPt>
            <c:idx val="9"/>
            <c:invertIfNegative val="0"/>
            <c:bubble3D val="0"/>
            <c:spPr>
              <a:noFill/>
              <a:ln>
                <a:noFill/>
              </a:ln>
              <a:effectLst/>
            </c:spPr>
            <c:extLst>
              <c:ext xmlns:c16="http://schemas.microsoft.com/office/drawing/2014/chart" uri="{C3380CC4-5D6E-409C-BE32-E72D297353CC}">
                <c16:uniqueId val="{00000011-60B0-432F-9A01-1549F468616A}"/>
              </c:ext>
            </c:extLst>
          </c:dPt>
          <c:val>
            <c:numRef>
              <c:f>'results_intangibles (2)'!$G$4:$G$13</c:f>
              <c:numCache>
                <c:formatCode>General</c:formatCode>
                <c:ptCount val="10"/>
                <c:pt idx="0">
                  <c:v>0.44002000000000002</c:v>
                </c:pt>
                <c:pt idx="1">
                  <c:v>0.36454999999999999</c:v>
                </c:pt>
                <c:pt idx="2">
                  <c:v>0.36197000000000001</c:v>
                </c:pt>
                <c:pt idx="3">
                  <c:v>0.39440999999999998</c:v>
                </c:pt>
                <c:pt idx="4">
                  <c:v>0.16327</c:v>
                </c:pt>
                <c:pt idx="5">
                  <c:v>0.30152000000000001</c:v>
                </c:pt>
                <c:pt idx="6">
                  <c:v>0.36747999999999997</c:v>
                </c:pt>
                <c:pt idx="7">
                  <c:v>2.4199999999999999E-2</c:v>
                </c:pt>
                <c:pt idx="8">
                  <c:v>1.6343399999999999</c:v>
                </c:pt>
                <c:pt idx="9">
                  <c:v>0.96755999999999998</c:v>
                </c:pt>
              </c:numCache>
            </c:numRef>
          </c:val>
          <c:extLst>
            <c:ext xmlns:c16="http://schemas.microsoft.com/office/drawing/2014/chart" uri="{C3380CC4-5D6E-409C-BE32-E72D297353CC}">
              <c16:uniqueId val="{00000012-60B0-432F-9A01-1549F468616A}"/>
            </c:ext>
          </c:extLst>
        </c:ser>
        <c:ser>
          <c:idx val="1"/>
          <c:order val="2"/>
          <c:tx>
            <c:v>min</c:v>
          </c:tx>
          <c:spPr>
            <a:solidFill>
              <a:srgbClr val="7DB749">
                <a:alpha val="50000"/>
              </a:srgbClr>
            </a:solidFill>
            <a:ln>
              <a:noFill/>
            </a:ln>
            <a:effectLst/>
            <a:extLst>
              <a:ext uri="{91240B29-F687-4F45-9708-019B960494DF}">
                <a14:hiddenLine xmlns:a14="http://schemas.microsoft.com/office/drawing/2010/main">
                  <a:noFill/>
                </a14:hiddenLine>
              </a:ext>
            </a:extLst>
          </c:spPr>
          <c:invertIfNegative val="0"/>
          <c:dPt>
            <c:idx val="8"/>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4-60B0-432F-9A01-1549F468616A}"/>
              </c:ext>
            </c:extLst>
          </c:dPt>
          <c:dPt>
            <c:idx val="9"/>
            <c:invertIfNegative val="0"/>
            <c:bubble3D val="0"/>
            <c:spPr>
              <a:solidFill>
                <a:srgbClr val="FFC000">
                  <a:alpha val="50000"/>
                </a:srgbClr>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6-60B0-432F-9A01-1549F468616A}"/>
              </c:ext>
            </c:extLst>
          </c:dPt>
          <c:val>
            <c:numRef>
              <c:f>'results_intangibles (2)'!$F$4:$F$13</c:f>
              <c:numCache>
                <c:formatCode>General</c:formatCode>
                <c:ptCount val="10"/>
                <c:pt idx="0">
                  <c:v>-0.19789000000000001</c:v>
                </c:pt>
                <c:pt idx="1">
                  <c:v>-0.22678999999999999</c:v>
                </c:pt>
                <c:pt idx="2">
                  <c:v>-0.22423999999999999</c:v>
                </c:pt>
                <c:pt idx="3">
                  <c:v>-0.15864</c:v>
                </c:pt>
                <c:pt idx="4">
                  <c:v>-0.37824000000000002</c:v>
                </c:pt>
                <c:pt idx="5">
                  <c:v>-0.23003000000000001</c:v>
                </c:pt>
                <c:pt idx="6">
                  <c:v>-0.11815000000000001</c:v>
                </c:pt>
                <c:pt idx="7">
                  <c:v>0.58899000000000001</c:v>
                </c:pt>
                <c:pt idx="8">
                  <c:v>0.61346999999999996</c:v>
                </c:pt>
                <c:pt idx="9">
                  <c:v>0.85780999999999996</c:v>
                </c:pt>
              </c:numCache>
            </c:numRef>
          </c:val>
          <c:extLst>
            <c:ext xmlns:c16="http://schemas.microsoft.com/office/drawing/2014/chart" uri="{C3380CC4-5D6E-409C-BE32-E72D297353CC}">
              <c16:uniqueId val="{00000017-60B0-432F-9A01-1549F468616A}"/>
            </c:ext>
          </c:extLst>
        </c:ser>
        <c:dLbls>
          <c:showLegendKey val="0"/>
          <c:showVal val="0"/>
          <c:showCatName val="0"/>
          <c:showSerName val="0"/>
          <c:showPercent val="0"/>
          <c:showBubbleSize val="0"/>
        </c:dLbls>
        <c:gapWidth val="150"/>
        <c:overlap val="100"/>
        <c:axId val="27777999"/>
        <c:axId val="27778479"/>
      </c:barChart>
      <c:lineChart>
        <c:grouping val="standard"/>
        <c:varyColors val="0"/>
        <c:ser>
          <c:idx val="0"/>
          <c:order val="0"/>
          <c:tx>
            <c:v>coeficientes</c:v>
          </c:tx>
          <c:spPr>
            <a:ln w="28575" cap="rnd">
              <a:noFill/>
              <a:prstDash val="solid"/>
              <a:round/>
            </a:ln>
            <a:effectLst/>
          </c:spPr>
          <c:marker>
            <c:symbol val="diamond"/>
            <c:size val="8"/>
            <c:spPr>
              <a:solidFill>
                <a:srgbClr val="7DB749"/>
              </a:solidFill>
              <a:ln w="28575">
                <a:solidFill>
                  <a:srgbClr val="7DB749"/>
                </a:solidFill>
                <a:prstDash val="solid"/>
              </a:ln>
              <a:effectLst/>
            </c:spPr>
          </c:marker>
          <c:dPt>
            <c:idx val="0"/>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8-60B0-432F-9A01-1549F468616A}"/>
              </c:ext>
            </c:extLst>
          </c:dPt>
          <c:dPt>
            <c:idx val="1"/>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9-60B0-432F-9A01-1549F468616A}"/>
              </c:ext>
            </c:extLst>
          </c:dPt>
          <c:dPt>
            <c:idx val="2"/>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A-60B0-432F-9A01-1549F468616A}"/>
              </c:ext>
            </c:extLst>
          </c:dPt>
          <c:dPt>
            <c:idx val="3"/>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B-60B0-432F-9A01-1549F468616A}"/>
              </c:ext>
            </c:extLst>
          </c:dPt>
          <c:dPt>
            <c:idx val="4"/>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C-60B0-432F-9A01-1549F468616A}"/>
              </c:ext>
            </c:extLst>
          </c:dPt>
          <c:dPt>
            <c:idx val="5"/>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D-60B0-432F-9A01-1549F468616A}"/>
              </c:ext>
            </c:extLst>
          </c:dPt>
          <c:dPt>
            <c:idx val="6"/>
            <c:marker>
              <c:symbol val="diamond"/>
              <c:size val="8"/>
              <c:spPr>
                <a:solidFill>
                  <a:srgbClr val="7DB749"/>
                </a:solidFill>
                <a:ln w="25400">
                  <a:solidFill>
                    <a:srgbClr val="7DB749"/>
                  </a:solidFill>
                </a:ln>
                <a:effectLst/>
              </c:spPr>
            </c:marker>
            <c:bubble3D val="0"/>
            <c:extLst>
              <c:ext xmlns:c16="http://schemas.microsoft.com/office/drawing/2014/chart" uri="{C3380CC4-5D6E-409C-BE32-E72D297353CC}">
                <c16:uniqueId val="{0000001E-60B0-432F-9A01-1549F468616A}"/>
              </c:ext>
            </c:extLst>
          </c:dPt>
          <c:dPt>
            <c:idx val="8"/>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1F-60B0-432F-9A01-1549F468616A}"/>
              </c:ext>
            </c:extLst>
          </c:dPt>
          <c:dPt>
            <c:idx val="9"/>
            <c:marker>
              <c:symbol val="diamond"/>
              <c:size val="8"/>
              <c:spPr>
                <a:solidFill>
                  <a:srgbClr val="FFC000"/>
                </a:solidFill>
                <a:ln w="28575">
                  <a:solidFill>
                    <a:srgbClr val="FFC000"/>
                  </a:solidFill>
                  <a:prstDash val="solid"/>
                </a:ln>
                <a:effectLst/>
              </c:spPr>
            </c:marker>
            <c:bubble3D val="0"/>
            <c:extLst>
              <c:ext xmlns:c16="http://schemas.microsoft.com/office/drawing/2014/chart" uri="{C3380CC4-5D6E-409C-BE32-E72D297353CC}">
                <c16:uniqueId val="{00000020-60B0-432F-9A01-1549F468616A}"/>
              </c:ext>
            </c:extLst>
          </c:dPt>
          <c:cat>
            <c:numRef>
              <c:f>'results_intangibles (2)'!$A$4:$A$13</c:f>
              <c:numCache>
                <c:formatCode>General</c:formatCode>
                <c:ptCount val="10"/>
                <c:pt idx="0">
                  <c:v>-8</c:v>
                </c:pt>
                <c:pt idx="1">
                  <c:v>-7</c:v>
                </c:pt>
                <c:pt idx="2">
                  <c:v>-6</c:v>
                </c:pt>
                <c:pt idx="3">
                  <c:v>-5</c:v>
                </c:pt>
                <c:pt idx="4">
                  <c:v>-4</c:v>
                </c:pt>
                <c:pt idx="5">
                  <c:v>-3</c:v>
                </c:pt>
                <c:pt idx="6">
                  <c:v>-2</c:v>
                </c:pt>
                <c:pt idx="7">
                  <c:v>-1</c:v>
                </c:pt>
                <c:pt idx="8">
                  <c:v>0</c:v>
                </c:pt>
                <c:pt idx="9">
                  <c:v>1</c:v>
                </c:pt>
              </c:numCache>
            </c:numRef>
          </c:cat>
          <c:val>
            <c:numRef>
              <c:f>'results_intangibles (2)'!$B$4:$B$13</c:f>
              <c:numCache>
                <c:formatCode>General</c:formatCode>
                <c:ptCount val="10"/>
                <c:pt idx="0">
                  <c:v>0.12107</c:v>
                </c:pt>
                <c:pt idx="1">
                  <c:v>6.8880000000000011E-2</c:v>
                </c:pt>
                <c:pt idx="2">
                  <c:v>6.8870000000000001E-2</c:v>
                </c:pt>
                <c:pt idx="3">
                  <c:v>0.11788</c:v>
                </c:pt>
                <c:pt idx="4">
                  <c:v>-0.10748000000000001</c:v>
                </c:pt>
                <c:pt idx="5">
                  <c:v>3.5740000000000001E-2</c:v>
                </c:pt>
                <c:pt idx="6">
                  <c:v>0.12467</c:v>
                </c:pt>
                <c:pt idx="7">
                  <c:v>0.36798999999999998</c:v>
                </c:pt>
                <c:pt idx="8">
                  <c:v>2.0477599999999998</c:v>
                </c:pt>
                <c:pt idx="9">
                  <c:v>1.32047</c:v>
                </c:pt>
              </c:numCache>
            </c:numRef>
          </c:val>
          <c:smooth val="0"/>
          <c:extLst>
            <c:ext xmlns:c16="http://schemas.microsoft.com/office/drawing/2014/chart" uri="{C3380CC4-5D6E-409C-BE32-E72D297353CC}">
              <c16:uniqueId val="{00000021-60B0-432F-9A01-1549F468616A}"/>
            </c:ext>
          </c:extLst>
        </c:ser>
        <c:dLbls>
          <c:showLegendKey val="0"/>
          <c:showVal val="0"/>
          <c:showCatName val="0"/>
          <c:showSerName val="0"/>
          <c:showPercent val="0"/>
          <c:showBubbleSize val="0"/>
        </c:dLbls>
        <c:marker val="1"/>
        <c:smooth val="0"/>
        <c:axId val="27777999"/>
        <c:axId val="27778479"/>
      </c:lineChart>
      <c:catAx>
        <c:axId val="27777999"/>
        <c:scaling>
          <c:orientation val="minMax"/>
        </c:scaling>
        <c:delete val="0"/>
        <c:axPos val="b"/>
        <c:title>
          <c:tx>
            <c:rich>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r>
                  <a:rPr lang="en-US" sz="700">
                    <a:latin typeface="Roboto" panose="02000000000000000000" pitchFamily="2" charset="0"/>
                  </a:rPr>
                  <a:t>Años desde la</a:t>
                </a:r>
                <a:r>
                  <a:rPr lang="en-US" sz="700" baseline="0">
                    <a:latin typeface="Roboto" panose="02000000000000000000" pitchFamily="2" charset="0"/>
                  </a:rPr>
                  <a:t> concesión</a:t>
                </a:r>
                <a:endParaRPr lang="en-US" sz="700">
                  <a:latin typeface="Roboto" panose="02000000000000000000" pitchFamily="2" charset="0"/>
                </a:endParaRPr>
              </a:p>
            </c:rich>
          </c:tx>
          <c:layout>
            <c:manualLayout>
              <c:xMode val="edge"/>
              <c:yMode val="edge"/>
              <c:x val="0.50992897945937854"/>
              <c:y val="0.93716145833333331"/>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Roboto" panose="02000000000000000000" pitchFamily="2" charset="0"/>
                  <a:ea typeface="Roboto"/>
                  <a:cs typeface="Roboto"/>
                </a:defRPr>
              </a:pPr>
              <a:endParaRPr lang="en-US"/>
            </a:p>
          </c:txPr>
        </c:title>
        <c:numFmt formatCode="General" sourceLinked="1"/>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8479"/>
        <c:crossesAt val="0"/>
        <c:auto val="1"/>
        <c:lblAlgn val="ctr"/>
        <c:lblOffset val="100"/>
        <c:noMultiLvlLbl val="0"/>
      </c:catAx>
      <c:valAx>
        <c:axId val="27778479"/>
        <c:scaling>
          <c:orientation val="minMax"/>
        </c:scaling>
        <c:delete val="0"/>
        <c:axPos val="l"/>
        <c:majorGridlines>
          <c:spPr>
            <a:ln w="3810" cap="flat" cmpd="sng" algn="ctr">
              <a:solidFill>
                <a:srgbClr val="7F7F7F"/>
              </a:solidFill>
              <a:prstDash val="solid"/>
              <a:round/>
            </a:ln>
            <a:effectLst/>
          </c:spPr>
        </c:majorGridlines>
        <c:numFmt formatCode="#,##0.0" sourceLinked="0"/>
        <c:majorTickMark val="in"/>
        <c:minorTickMark val="none"/>
        <c:tickLblPos val="low"/>
        <c:spPr>
          <a:noFill/>
          <a:ln w="6350" cap="flat" cmpd="sng" algn="ctr">
            <a:solidFill>
              <a:srgbClr val="7F7F7F"/>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00" b="0" i="0" u="none" strike="noStrike" kern="1200" baseline="0">
                <a:solidFill>
                  <a:srgbClr val="000000"/>
                </a:solidFill>
                <a:latin typeface="Roboto"/>
                <a:ea typeface="Roboto"/>
                <a:cs typeface="Roboto"/>
              </a:defRPr>
            </a:pPr>
            <a:endParaRPr lang="es-ES_tradnl"/>
          </a:p>
        </c:txPr>
        <c:crossAx val="2777799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s-ES_tradnl"/>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15</xdr:col>
      <xdr:colOff>104912</xdr:colOff>
      <xdr:row>1</xdr:row>
      <xdr:rowOff>55218</xdr:rowOff>
    </xdr:from>
    <xdr:to>
      <xdr:col>30</xdr:col>
      <xdr:colOff>139975</xdr:colOff>
      <xdr:row>62</xdr:row>
      <xdr:rowOff>62442</xdr:rowOff>
    </xdr:to>
    <xdr:grpSp>
      <xdr:nvGrpSpPr>
        <xdr:cNvPr id="2" name="Grupo 1">
          <a:extLst>
            <a:ext uri="{FF2B5EF4-FFF2-40B4-BE49-F238E27FC236}">
              <a16:creationId xmlns:a16="http://schemas.microsoft.com/office/drawing/2014/main" id="{7AF24C98-1FB1-45E2-AC29-156F6C71C3B4}"/>
            </a:ext>
          </a:extLst>
        </xdr:cNvPr>
        <xdr:cNvGrpSpPr>
          <a:grpSpLocks/>
        </xdr:cNvGrpSpPr>
      </xdr:nvGrpSpPr>
      <xdr:grpSpPr>
        <a:xfrm>
          <a:off x="5753651" y="187740"/>
          <a:ext cx="5625824" cy="8331245"/>
          <a:chOff x="0" y="0"/>
          <a:chExt cx="5986206" cy="8919100"/>
        </a:xfrm>
      </xdr:grpSpPr>
      <xdr:sp macro="" textlink="">
        <xdr:nvSpPr>
          <xdr:cNvPr id="3" name="120 Rectángulo">
            <a:extLst>
              <a:ext uri="{FF2B5EF4-FFF2-40B4-BE49-F238E27FC236}">
                <a16:creationId xmlns:a16="http://schemas.microsoft.com/office/drawing/2014/main" id="{7618CB59-DF3D-84F6-8B83-D7EDC8227359}"/>
              </a:ext>
            </a:extLst>
          </xdr:cNvPr>
          <xdr:cNvSpPr/>
        </xdr:nvSpPr>
        <xdr:spPr bwMode="auto">
          <a:xfrm>
            <a:off x="91709" y="0"/>
            <a:ext cx="4038376" cy="8918066"/>
          </a:xfrm>
          <a:prstGeom prst="rect">
            <a:avLst/>
          </a:prstGeom>
          <a:noFill/>
          <a:ln w="3175" cap="flat" cmpd="sng" algn="ctr">
            <a:solidFill>
              <a:srgbClr val="0070C0"/>
            </a:solidFill>
            <a:prstDash val="sysDash"/>
            <a:round/>
            <a:headEnd type="none" w="med" len="med"/>
            <a:tailEnd type="none" w="med" len="med"/>
          </a:ln>
          <a:effectLst/>
        </xdr:spPr>
        <xdr:txBody>
          <a:bodyPr vertOverflow="clip" wrap="square" lIns="18288" tIns="0" rIns="0" bIns="0" rtlCol="0" anchor="ctr" upright="1"/>
          <a:lstStyle/>
          <a:p>
            <a:pPr algn="ctr"/>
            <a:endParaRPr lang="en-US" sz="1100"/>
          </a:p>
        </xdr:txBody>
      </xdr:sp>
      <xdr:sp macro="" textlink="">
        <xdr:nvSpPr>
          <xdr:cNvPr id="4" name="121 Rectángulo">
            <a:extLst>
              <a:ext uri="{FF2B5EF4-FFF2-40B4-BE49-F238E27FC236}">
                <a16:creationId xmlns:a16="http://schemas.microsoft.com/office/drawing/2014/main" id="{BE6F7236-6C4C-2C9D-56A8-BC7D8DFFC58F}"/>
              </a:ext>
            </a:extLst>
          </xdr:cNvPr>
          <xdr:cNvSpPr/>
        </xdr:nvSpPr>
        <xdr:spPr bwMode="auto">
          <a:xfrm>
            <a:off x="0" y="0"/>
            <a:ext cx="5986206" cy="8919100"/>
          </a:xfrm>
          <a:prstGeom prst="rect">
            <a:avLst/>
          </a:prstGeom>
          <a:noFill/>
          <a:ln w="3175" cap="flat" cmpd="sng" algn="ctr">
            <a:solidFill>
              <a:srgbClr val="FF0000"/>
            </a:solidFill>
            <a:prstDash val="solid"/>
            <a:miter lim="800000"/>
            <a:headEnd type="none" w="med" len="med"/>
            <a:tailEnd type="none" w="med" len="med"/>
          </a:ln>
          <a:effectLst/>
        </xdr:spPr>
        <xdr:txBody>
          <a:bodyPr vertOverflow="clip" wrap="square" lIns="18288" tIns="0" rIns="0" bIns="0" rtlCol="0" anchor="ctr" upright="1"/>
          <a:lstStyle/>
          <a:p>
            <a:pPr algn="ctr"/>
            <a:endParaRPr lang="en-US" sz="1100"/>
          </a:p>
        </xdr:txBody>
      </xdr:sp>
      <xdr:grpSp>
        <xdr:nvGrpSpPr>
          <xdr:cNvPr id="5" name="250 Grupo">
            <a:extLst>
              <a:ext uri="{FF2B5EF4-FFF2-40B4-BE49-F238E27FC236}">
                <a16:creationId xmlns:a16="http://schemas.microsoft.com/office/drawing/2014/main" id="{F6095ECD-399A-6D5E-F3C1-FAB2F5C93463}"/>
              </a:ext>
            </a:extLst>
          </xdr:cNvPr>
          <xdr:cNvGrpSpPr/>
        </xdr:nvGrpSpPr>
        <xdr:grpSpPr>
          <a:xfrm>
            <a:off x="0" y="177105"/>
            <a:ext cx="5979849" cy="8616717"/>
            <a:chOff x="0" y="180975"/>
            <a:chExt cx="6165309" cy="8867774"/>
          </a:xfrm>
        </xdr:grpSpPr>
        <xdr:cxnSp macro="">
          <xdr:nvCxnSpPr>
            <xdr:cNvPr id="7" name="126 Conector recto">
              <a:extLst>
                <a:ext uri="{FF2B5EF4-FFF2-40B4-BE49-F238E27FC236}">
                  <a16:creationId xmlns:a16="http://schemas.microsoft.com/office/drawing/2014/main" id="{46898F91-5E04-EADB-11F2-384FB139B737}"/>
                </a:ext>
              </a:extLst>
            </xdr:cNvPr>
            <xdr:cNvCxnSpPr/>
          </xdr:nvCxnSpPr>
          <xdr:spPr bwMode="auto">
            <a:xfrm>
              <a:off x="0" y="43434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 name="127 Conector recto">
              <a:extLst>
                <a:ext uri="{FF2B5EF4-FFF2-40B4-BE49-F238E27FC236}">
                  <a16:creationId xmlns:a16="http://schemas.microsoft.com/office/drawing/2014/main" id="{6F97A087-BC42-E362-8767-FAA372502E49}"/>
                </a:ext>
              </a:extLst>
            </xdr:cNvPr>
            <xdr:cNvCxnSpPr/>
          </xdr:nvCxnSpPr>
          <xdr:spPr bwMode="auto">
            <a:xfrm>
              <a:off x="0" y="45243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 name="128 Conector recto">
              <a:extLst>
                <a:ext uri="{FF2B5EF4-FFF2-40B4-BE49-F238E27FC236}">
                  <a16:creationId xmlns:a16="http://schemas.microsoft.com/office/drawing/2014/main" id="{011152DA-8F02-618D-AC24-63287694270D}"/>
                </a:ext>
              </a:extLst>
            </xdr:cNvPr>
            <xdr:cNvCxnSpPr/>
          </xdr:nvCxnSpPr>
          <xdr:spPr bwMode="auto">
            <a:xfrm>
              <a:off x="0" y="47053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 name="129 Conector recto">
              <a:extLst>
                <a:ext uri="{FF2B5EF4-FFF2-40B4-BE49-F238E27FC236}">
                  <a16:creationId xmlns:a16="http://schemas.microsoft.com/office/drawing/2014/main" id="{51527810-BE8F-0C0D-84EB-E58863AD0D0B}"/>
                </a:ext>
              </a:extLst>
            </xdr:cNvPr>
            <xdr:cNvCxnSpPr/>
          </xdr:nvCxnSpPr>
          <xdr:spPr bwMode="auto">
            <a:xfrm>
              <a:off x="0" y="48863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 name="130 Conector recto">
              <a:extLst>
                <a:ext uri="{FF2B5EF4-FFF2-40B4-BE49-F238E27FC236}">
                  <a16:creationId xmlns:a16="http://schemas.microsoft.com/office/drawing/2014/main" id="{B517C9F4-8F6D-5EDF-BA45-542AB57F0ABC}"/>
                </a:ext>
              </a:extLst>
            </xdr:cNvPr>
            <xdr:cNvCxnSpPr/>
          </xdr:nvCxnSpPr>
          <xdr:spPr bwMode="auto">
            <a:xfrm>
              <a:off x="0" y="50673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2" name="133 Conector recto">
              <a:extLst>
                <a:ext uri="{FF2B5EF4-FFF2-40B4-BE49-F238E27FC236}">
                  <a16:creationId xmlns:a16="http://schemas.microsoft.com/office/drawing/2014/main" id="{829101E1-CC9B-A35F-EC3A-D3035A9D209A}"/>
                </a:ext>
              </a:extLst>
            </xdr:cNvPr>
            <xdr:cNvCxnSpPr/>
          </xdr:nvCxnSpPr>
          <xdr:spPr bwMode="auto">
            <a:xfrm>
              <a:off x="0" y="52482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3" name="134 Conector recto">
              <a:extLst>
                <a:ext uri="{FF2B5EF4-FFF2-40B4-BE49-F238E27FC236}">
                  <a16:creationId xmlns:a16="http://schemas.microsoft.com/office/drawing/2014/main" id="{EAD93DBC-D2D8-C3BA-B15E-10931556FF1A}"/>
                </a:ext>
              </a:extLst>
            </xdr:cNvPr>
            <xdr:cNvCxnSpPr/>
          </xdr:nvCxnSpPr>
          <xdr:spPr bwMode="auto">
            <a:xfrm>
              <a:off x="0" y="54292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4" name="135 Conector recto">
              <a:extLst>
                <a:ext uri="{FF2B5EF4-FFF2-40B4-BE49-F238E27FC236}">
                  <a16:creationId xmlns:a16="http://schemas.microsoft.com/office/drawing/2014/main" id="{001C27F5-58C0-0832-622F-0C5F3B683B64}"/>
                </a:ext>
              </a:extLst>
            </xdr:cNvPr>
            <xdr:cNvCxnSpPr/>
          </xdr:nvCxnSpPr>
          <xdr:spPr bwMode="auto">
            <a:xfrm>
              <a:off x="0" y="56102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5" name="136 Conector recto">
              <a:extLst>
                <a:ext uri="{FF2B5EF4-FFF2-40B4-BE49-F238E27FC236}">
                  <a16:creationId xmlns:a16="http://schemas.microsoft.com/office/drawing/2014/main" id="{D617B945-C869-CBD7-4B5F-5E4121F9A633}"/>
                </a:ext>
              </a:extLst>
            </xdr:cNvPr>
            <xdr:cNvCxnSpPr/>
          </xdr:nvCxnSpPr>
          <xdr:spPr bwMode="auto">
            <a:xfrm>
              <a:off x="0" y="57912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6" name="137 Conector recto">
              <a:extLst>
                <a:ext uri="{FF2B5EF4-FFF2-40B4-BE49-F238E27FC236}">
                  <a16:creationId xmlns:a16="http://schemas.microsoft.com/office/drawing/2014/main" id="{C4F41053-4781-8427-46E0-226DBE2B0EFA}"/>
                </a:ext>
              </a:extLst>
            </xdr:cNvPr>
            <xdr:cNvCxnSpPr/>
          </xdr:nvCxnSpPr>
          <xdr:spPr bwMode="auto">
            <a:xfrm>
              <a:off x="0" y="59721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7" name="138 Conector recto">
              <a:extLst>
                <a:ext uri="{FF2B5EF4-FFF2-40B4-BE49-F238E27FC236}">
                  <a16:creationId xmlns:a16="http://schemas.microsoft.com/office/drawing/2014/main" id="{19E005BE-EEA0-7E41-EFB5-DC6459E57899}"/>
                </a:ext>
              </a:extLst>
            </xdr:cNvPr>
            <xdr:cNvCxnSpPr/>
          </xdr:nvCxnSpPr>
          <xdr:spPr bwMode="auto">
            <a:xfrm>
              <a:off x="0" y="61531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8" name="139 Conector recto">
              <a:extLst>
                <a:ext uri="{FF2B5EF4-FFF2-40B4-BE49-F238E27FC236}">
                  <a16:creationId xmlns:a16="http://schemas.microsoft.com/office/drawing/2014/main" id="{15EB1DC1-58EF-9185-EA7E-EE229E23BB19}"/>
                </a:ext>
              </a:extLst>
            </xdr:cNvPr>
            <xdr:cNvCxnSpPr/>
          </xdr:nvCxnSpPr>
          <xdr:spPr bwMode="auto">
            <a:xfrm>
              <a:off x="0" y="63341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9" name="140 Conector recto">
              <a:extLst>
                <a:ext uri="{FF2B5EF4-FFF2-40B4-BE49-F238E27FC236}">
                  <a16:creationId xmlns:a16="http://schemas.microsoft.com/office/drawing/2014/main" id="{CECADDB0-DDA7-337E-2BDA-CB5FF2A4DAFA}"/>
                </a:ext>
              </a:extLst>
            </xdr:cNvPr>
            <xdr:cNvCxnSpPr/>
          </xdr:nvCxnSpPr>
          <xdr:spPr bwMode="auto">
            <a:xfrm>
              <a:off x="0" y="65151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0" name="141 Conector recto">
              <a:extLst>
                <a:ext uri="{FF2B5EF4-FFF2-40B4-BE49-F238E27FC236}">
                  <a16:creationId xmlns:a16="http://schemas.microsoft.com/office/drawing/2014/main" id="{ADF1035C-60BD-70A0-A3F6-64D29DB05B81}"/>
                </a:ext>
              </a:extLst>
            </xdr:cNvPr>
            <xdr:cNvCxnSpPr/>
          </xdr:nvCxnSpPr>
          <xdr:spPr bwMode="auto">
            <a:xfrm>
              <a:off x="0" y="66960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1" name="142 Conector recto">
              <a:extLst>
                <a:ext uri="{FF2B5EF4-FFF2-40B4-BE49-F238E27FC236}">
                  <a16:creationId xmlns:a16="http://schemas.microsoft.com/office/drawing/2014/main" id="{C49A9388-43A1-2F0D-4E11-FD7FE162AD83}"/>
                </a:ext>
              </a:extLst>
            </xdr:cNvPr>
            <xdr:cNvCxnSpPr/>
          </xdr:nvCxnSpPr>
          <xdr:spPr bwMode="auto">
            <a:xfrm>
              <a:off x="0" y="68770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2" name="143 Conector recto">
              <a:extLst>
                <a:ext uri="{FF2B5EF4-FFF2-40B4-BE49-F238E27FC236}">
                  <a16:creationId xmlns:a16="http://schemas.microsoft.com/office/drawing/2014/main" id="{D0692DBB-396A-BF95-26AF-AABE48D89F98}"/>
                </a:ext>
              </a:extLst>
            </xdr:cNvPr>
            <xdr:cNvCxnSpPr/>
          </xdr:nvCxnSpPr>
          <xdr:spPr bwMode="auto">
            <a:xfrm>
              <a:off x="0" y="70580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3" name="144 Conector recto">
              <a:extLst>
                <a:ext uri="{FF2B5EF4-FFF2-40B4-BE49-F238E27FC236}">
                  <a16:creationId xmlns:a16="http://schemas.microsoft.com/office/drawing/2014/main" id="{2D8C7CBE-F9D5-789D-341F-E4876FEFB8C8}"/>
                </a:ext>
              </a:extLst>
            </xdr:cNvPr>
            <xdr:cNvCxnSpPr/>
          </xdr:nvCxnSpPr>
          <xdr:spPr bwMode="auto">
            <a:xfrm>
              <a:off x="0" y="72390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4" name="145 Conector recto">
              <a:extLst>
                <a:ext uri="{FF2B5EF4-FFF2-40B4-BE49-F238E27FC236}">
                  <a16:creationId xmlns:a16="http://schemas.microsoft.com/office/drawing/2014/main" id="{FA33494A-C29E-EFBB-372A-68DE5B9BC52A}"/>
                </a:ext>
              </a:extLst>
            </xdr:cNvPr>
            <xdr:cNvCxnSpPr/>
          </xdr:nvCxnSpPr>
          <xdr:spPr bwMode="auto">
            <a:xfrm>
              <a:off x="0" y="74199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5" name="146 Conector recto">
              <a:extLst>
                <a:ext uri="{FF2B5EF4-FFF2-40B4-BE49-F238E27FC236}">
                  <a16:creationId xmlns:a16="http://schemas.microsoft.com/office/drawing/2014/main" id="{8D19109C-C13C-3267-3BE9-C9805DACD09D}"/>
                </a:ext>
              </a:extLst>
            </xdr:cNvPr>
            <xdr:cNvCxnSpPr/>
          </xdr:nvCxnSpPr>
          <xdr:spPr bwMode="auto">
            <a:xfrm>
              <a:off x="0" y="76009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6" name="147 Conector recto">
              <a:extLst>
                <a:ext uri="{FF2B5EF4-FFF2-40B4-BE49-F238E27FC236}">
                  <a16:creationId xmlns:a16="http://schemas.microsoft.com/office/drawing/2014/main" id="{9D6FAF4E-3670-C905-6096-92D275262C4B}"/>
                </a:ext>
              </a:extLst>
            </xdr:cNvPr>
            <xdr:cNvCxnSpPr/>
          </xdr:nvCxnSpPr>
          <xdr:spPr bwMode="auto">
            <a:xfrm>
              <a:off x="0" y="77819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7" name="148 Conector recto">
              <a:extLst>
                <a:ext uri="{FF2B5EF4-FFF2-40B4-BE49-F238E27FC236}">
                  <a16:creationId xmlns:a16="http://schemas.microsoft.com/office/drawing/2014/main" id="{02456318-16EC-5AF0-9B9C-53AD621C139D}"/>
                </a:ext>
              </a:extLst>
            </xdr:cNvPr>
            <xdr:cNvCxnSpPr/>
          </xdr:nvCxnSpPr>
          <xdr:spPr bwMode="auto">
            <a:xfrm>
              <a:off x="0" y="79629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8" name="149 Conector recto">
              <a:extLst>
                <a:ext uri="{FF2B5EF4-FFF2-40B4-BE49-F238E27FC236}">
                  <a16:creationId xmlns:a16="http://schemas.microsoft.com/office/drawing/2014/main" id="{1823EA0F-E0D8-3262-B44F-8AF844480C79}"/>
                </a:ext>
              </a:extLst>
            </xdr:cNvPr>
            <xdr:cNvCxnSpPr/>
          </xdr:nvCxnSpPr>
          <xdr:spPr bwMode="auto">
            <a:xfrm>
              <a:off x="0" y="81438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29" name="150 Conector recto">
              <a:extLst>
                <a:ext uri="{FF2B5EF4-FFF2-40B4-BE49-F238E27FC236}">
                  <a16:creationId xmlns:a16="http://schemas.microsoft.com/office/drawing/2014/main" id="{7204DA5E-A83C-5F28-1BB1-D96516FB12D4}"/>
                </a:ext>
              </a:extLst>
            </xdr:cNvPr>
            <xdr:cNvCxnSpPr/>
          </xdr:nvCxnSpPr>
          <xdr:spPr bwMode="auto">
            <a:xfrm>
              <a:off x="0" y="83248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0" name="151 Conector recto">
              <a:extLst>
                <a:ext uri="{FF2B5EF4-FFF2-40B4-BE49-F238E27FC236}">
                  <a16:creationId xmlns:a16="http://schemas.microsoft.com/office/drawing/2014/main" id="{242D2E06-70A8-25CE-9B8A-9AC2F0675502}"/>
                </a:ext>
              </a:extLst>
            </xdr:cNvPr>
            <xdr:cNvCxnSpPr/>
          </xdr:nvCxnSpPr>
          <xdr:spPr bwMode="auto">
            <a:xfrm>
              <a:off x="0" y="85058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1" name="152 Conector recto">
              <a:extLst>
                <a:ext uri="{FF2B5EF4-FFF2-40B4-BE49-F238E27FC236}">
                  <a16:creationId xmlns:a16="http://schemas.microsoft.com/office/drawing/2014/main" id="{E1466E81-2D3A-D906-D21F-97A63EC1618A}"/>
                </a:ext>
              </a:extLst>
            </xdr:cNvPr>
            <xdr:cNvCxnSpPr/>
          </xdr:nvCxnSpPr>
          <xdr:spPr bwMode="auto">
            <a:xfrm>
              <a:off x="0" y="86868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2" name="153 Conector recto">
              <a:extLst>
                <a:ext uri="{FF2B5EF4-FFF2-40B4-BE49-F238E27FC236}">
                  <a16:creationId xmlns:a16="http://schemas.microsoft.com/office/drawing/2014/main" id="{86812B77-940E-A044-367D-096140346215}"/>
                </a:ext>
              </a:extLst>
            </xdr:cNvPr>
            <xdr:cNvCxnSpPr/>
          </xdr:nvCxnSpPr>
          <xdr:spPr bwMode="auto">
            <a:xfrm>
              <a:off x="0" y="88677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3" name="154 Conector recto">
              <a:extLst>
                <a:ext uri="{FF2B5EF4-FFF2-40B4-BE49-F238E27FC236}">
                  <a16:creationId xmlns:a16="http://schemas.microsoft.com/office/drawing/2014/main" id="{A718488F-DBA8-C968-2F62-3486D0741CFE}"/>
                </a:ext>
              </a:extLst>
            </xdr:cNvPr>
            <xdr:cNvCxnSpPr/>
          </xdr:nvCxnSpPr>
          <xdr:spPr bwMode="auto">
            <a:xfrm>
              <a:off x="0" y="9048749"/>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4" name="155 Conector recto">
              <a:extLst>
                <a:ext uri="{FF2B5EF4-FFF2-40B4-BE49-F238E27FC236}">
                  <a16:creationId xmlns:a16="http://schemas.microsoft.com/office/drawing/2014/main" id="{FA50866F-E7DE-CF6E-3539-5EC8411ABF2D}"/>
                </a:ext>
              </a:extLst>
            </xdr:cNvPr>
            <xdr:cNvCxnSpPr/>
          </xdr:nvCxnSpPr>
          <xdr:spPr bwMode="auto">
            <a:xfrm>
              <a:off x="0" y="27146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5" name="156 Conector recto">
              <a:extLst>
                <a:ext uri="{FF2B5EF4-FFF2-40B4-BE49-F238E27FC236}">
                  <a16:creationId xmlns:a16="http://schemas.microsoft.com/office/drawing/2014/main" id="{08BCC07A-26A0-A4BC-D0E0-6D5AF1EDD8DF}"/>
                </a:ext>
              </a:extLst>
            </xdr:cNvPr>
            <xdr:cNvCxnSpPr/>
          </xdr:nvCxnSpPr>
          <xdr:spPr bwMode="auto">
            <a:xfrm>
              <a:off x="0" y="28956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6" name="157 Conector recto">
              <a:extLst>
                <a:ext uri="{FF2B5EF4-FFF2-40B4-BE49-F238E27FC236}">
                  <a16:creationId xmlns:a16="http://schemas.microsoft.com/office/drawing/2014/main" id="{1766E33F-FFFA-06C0-F619-B90A14C27C80}"/>
                </a:ext>
              </a:extLst>
            </xdr:cNvPr>
            <xdr:cNvCxnSpPr/>
          </xdr:nvCxnSpPr>
          <xdr:spPr bwMode="auto">
            <a:xfrm>
              <a:off x="0" y="30765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7" name="158 Conector recto">
              <a:extLst>
                <a:ext uri="{FF2B5EF4-FFF2-40B4-BE49-F238E27FC236}">
                  <a16:creationId xmlns:a16="http://schemas.microsoft.com/office/drawing/2014/main" id="{4B3505FF-BDDA-D0ED-23F3-87F6C57ED6FA}"/>
                </a:ext>
              </a:extLst>
            </xdr:cNvPr>
            <xdr:cNvCxnSpPr/>
          </xdr:nvCxnSpPr>
          <xdr:spPr bwMode="auto">
            <a:xfrm>
              <a:off x="0" y="32575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8" name="159 Conector recto">
              <a:extLst>
                <a:ext uri="{FF2B5EF4-FFF2-40B4-BE49-F238E27FC236}">
                  <a16:creationId xmlns:a16="http://schemas.microsoft.com/office/drawing/2014/main" id="{1E667D20-82A0-9B3C-85FE-3A395CE9D22C}"/>
                </a:ext>
              </a:extLst>
            </xdr:cNvPr>
            <xdr:cNvCxnSpPr/>
          </xdr:nvCxnSpPr>
          <xdr:spPr bwMode="auto">
            <a:xfrm>
              <a:off x="0" y="34385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39" name="160 Conector recto">
              <a:extLst>
                <a:ext uri="{FF2B5EF4-FFF2-40B4-BE49-F238E27FC236}">
                  <a16:creationId xmlns:a16="http://schemas.microsoft.com/office/drawing/2014/main" id="{5DA0F5F2-77E3-97E4-A836-43318E8647FD}"/>
                </a:ext>
              </a:extLst>
            </xdr:cNvPr>
            <xdr:cNvCxnSpPr/>
          </xdr:nvCxnSpPr>
          <xdr:spPr bwMode="auto">
            <a:xfrm>
              <a:off x="0" y="36195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0" name="161 Conector recto">
              <a:extLst>
                <a:ext uri="{FF2B5EF4-FFF2-40B4-BE49-F238E27FC236}">
                  <a16:creationId xmlns:a16="http://schemas.microsoft.com/office/drawing/2014/main" id="{2DD83626-71AA-5724-3A5E-1D23490D25ED}"/>
                </a:ext>
              </a:extLst>
            </xdr:cNvPr>
            <xdr:cNvCxnSpPr/>
          </xdr:nvCxnSpPr>
          <xdr:spPr bwMode="auto">
            <a:xfrm>
              <a:off x="0" y="38004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1" name="162 Conector recto">
              <a:extLst>
                <a:ext uri="{FF2B5EF4-FFF2-40B4-BE49-F238E27FC236}">
                  <a16:creationId xmlns:a16="http://schemas.microsoft.com/office/drawing/2014/main" id="{EC112A31-CD6F-09C2-44B3-FD295DB317B4}"/>
                </a:ext>
              </a:extLst>
            </xdr:cNvPr>
            <xdr:cNvCxnSpPr/>
          </xdr:nvCxnSpPr>
          <xdr:spPr bwMode="auto">
            <a:xfrm>
              <a:off x="0" y="39814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2" name="163 Conector recto">
              <a:extLst>
                <a:ext uri="{FF2B5EF4-FFF2-40B4-BE49-F238E27FC236}">
                  <a16:creationId xmlns:a16="http://schemas.microsoft.com/office/drawing/2014/main" id="{142AAE5B-51AC-E857-8C06-8A4C2AA789DA}"/>
                </a:ext>
              </a:extLst>
            </xdr:cNvPr>
            <xdr:cNvCxnSpPr/>
          </xdr:nvCxnSpPr>
          <xdr:spPr bwMode="auto">
            <a:xfrm>
              <a:off x="0" y="41624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3" name="164 Conector recto">
              <a:extLst>
                <a:ext uri="{FF2B5EF4-FFF2-40B4-BE49-F238E27FC236}">
                  <a16:creationId xmlns:a16="http://schemas.microsoft.com/office/drawing/2014/main" id="{7C14E6C9-4599-4478-2301-08C204CB2ECA}"/>
                </a:ext>
              </a:extLst>
            </xdr:cNvPr>
            <xdr:cNvCxnSpPr/>
          </xdr:nvCxnSpPr>
          <xdr:spPr bwMode="auto">
            <a:xfrm>
              <a:off x="0" y="10858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4" name="165 Conector recto">
              <a:extLst>
                <a:ext uri="{FF2B5EF4-FFF2-40B4-BE49-F238E27FC236}">
                  <a16:creationId xmlns:a16="http://schemas.microsoft.com/office/drawing/2014/main" id="{30F4CB3F-97A2-AD3D-6265-E0FB3B627BC7}"/>
                </a:ext>
              </a:extLst>
            </xdr:cNvPr>
            <xdr:cNvCxnSpPr/>
          </xdr:nvCxnSpPr>
          <xdr:spPr bwMode="auto">
            <a:xfrm>
              <a:off x="0" y="12668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5" name="166 Conector recto">
              <a:extLst>
                <a:ext uri="{FF2B5EF4-FFF2-40B4-BE49-F238E27FC236}">
                  <a16:creationId xmlns:a16="http://schemas.microsoft.com/office/drawing/2014/main" id="{CD6C396D-0EA2-8CCD-55FD-AF28D8268AFA}"/>
                </a:ext>
              </a:extLst>
            </xdr:cNvPr>
            <xdr:cNvCxnSpPr/>
          </xdr:nvCxnSpPr>
          <xdr:spPr bwMode="auto">
            <a:xfrm>
              <a:off x="0" y="14478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6" name="167 Conector recto">
              <a:extLst>
                <a:ext uri="{FF2B5EF4-FFF2-40B4-BE49-F238E27FC236}">
                  <a16:creationId xmlns:a16="http://schemas.microsoft.com/office/drawing/2014/main" id="{3B8E58CA-4B8E-BC38-558D-23E74749B867}"/>
                </a:ext>
              </a:extLst>
            </xdr:cNvPr>
            <xdr:cNvCxnSpPr/>
          </xdr:nvCxnSpPr>
          <xdr:spPr bwMode="auto">
            <a:xfrm>
              <a:off x="0" y="16287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7" name="168 Conector recto">
              <a:extLst>
                <a:ext uri="{FF2B5EF4-FFF2-40B4-BE49-F238E27FC236}">
                  <a16:creationId xmlns:a16="http://schemas.microsoft.com/office/drawing/2014/main" id="{3A5D126F-423E-22EB-7E74-BC09484F0510}"/>
                </a:ext>
              </a:extLst>
            </xdr:cNvPr>
            <xdr:cNvCxnSpPr/>
          </xdr:nvCxnSpPr>
          <xdr:spPr bwMode="auto">
            <a:xfrm>
              <a:off x="0" y="18097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8" name="169 Conector recto">
              <a:extLst>
                <a:ext uri="{FF2B5EF4-FFF2-40B4-BE49-F238E27FC236}">
                  <a16:creationId xmlns:a16="http://schemas.microsoft.com/office/drawing/2014/main" id="{2145B133-C40B-7D10-3087-A4C12266553A}"/>
                </a:ext>
              </a:extLst>
            </xdr:cNvPr>
            <xdr:cNvCxnSpPr/>
          </xdr:nvCxnSpPr>
          <xdr:spPr bwMode="auto">
            <a:xfrm>
              <a:off x="0" y="19907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49" name="170 Conector recto">
              <a:extLst>
                <a:ext uri="{FF2B5EF4-FFF2-40B4-BE49-F238E27FC236}">
                  <a16:creationId xmlns:a16="http://schemas.microsoft.com/office/drawing/2014/main" id="{C433516A-1008-0B42-C0F5-EBE27E607FEE}"/>
                </a:ext>
              </a:extLst>
            </xdr:cNvPr>
            <xdr:cNvCxnSpPr/>
          </xdr:nvCxnSpPr>
          <xdr:spPr bwMode="auto">
            <a:xfrm>
              <a:off x="0" y="21717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0" name="171 Conector recto">
              <a:extLst>
                <a:ext uri="{FF2B5EF4-FFF2-40B4-BE49-F238E27FC236}">
                  <a16:creationId xmlns:a16="http://schemas.microsoft.com/office/drawing/2014/main" id="{0AEA0524-6A68-D474-843A-BEB05392253E}"/>
                </a:ext>
              </a:extLst>
            </xdr:cNvPr>
            <xdr:cNvCxnSpPr/>
          </xdr:nvCxnSpPr>
          <xdr:spPr bwMode="auto">
            <a:xfrm>
              <a:off x="0" y="23526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1" name="172 Conector recto">
              <a:extLst>
                <a:ext uri="{FF2B5EF4-FFF2-40B4-BE49-F238E27FC236}">
                  <a16:creationId xmlns:a16="http://schemas.microsoft.com/office/drawing/2014/main" id="{6E2FE8BB-CEA6-D735-E30A-9BEEC127E2D0}"/>
                </a:ext>
              </a:extLst>
            </xdr:cNvPr>
            <xdr:cNvCxnSpPr/>
          </xdr:nvCxnSpPr>
          <xdr:spPr bwMode="auto">
            <a:xfrm>
              <a:off x="0" y="25336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2" name="173 Conector recto">
              <a:extLst>
                <a:ext uri="{FF2B5EF4-FFF2-40B4-BE49-F238E27FC236}">
                  <a16:creationId xmlns:a16="http://schemas.microsoft.com/office/drawing/2014/main" id="{5A3B1B5F-20F8-6F46-A96F-71E9314C54BF}"/>
                </a:ext>
              </a:extLst>
            </xdr:cNvPr>
            <xdr:cNvCxnSpPr/>
          </xdr:nvCxnSpPr>
          <xdr:spPr bwMode="auto">
            <a:xfrm>
              <a:off x="0" y="7239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3" name="174 Conector recto">
              <a:extLst>
                <a:ext uri="{FF2B5EF4-FFF2-40B4-BE49-F238E27FC236}">
                  <a16:creationId xmlns:a16="http://schemas.microsoft.com/office/drawing/2014/main" id="{5BFF65C5-363A-F105-A8C1-D4B45A9AB2D7}"/>
                </a:ext>
              </a:extLst>
            </xdr:cNvPr>
            <xdr:cNvCxnSpPr/>
          </xdr:nvCxnSpPr>
          <xdr:spPr bwMode="auto">
            <a:xfrm>
              <a:off x="0" y="9048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4" name="175 Conector recto">
              <a:extLst>
                <a:ext uri="{FF2B5EF4-FFF2-40B4-BE49-F238E27FC236}">
                  <a16:creationId xmlns:a16="http://schemas.microsoft.com/office/drawing/2014/main" id="{4A18AA56-3556-0045-7D02-A923246BAD80}"/>
                </a:ext>
              </a:extLst>
            </xdr:cNvPr>
            <xdr:cNvCxnSpPr/>
          </xdr:nvCxnSpPr>
          <xdr:spPr bwMode="auto">
            <a:xfrm>
              <a:off x="0" y="3619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5" name="176 Conector recto">
              <a:extLst>
                <a:ext uri="{FF2B5EF4-FFF2-40B4-BE49-F238E27FC236}">
                  <a16:creationId xmlns:a16="http://schemas.microsoft.com/office/drawing/2014/main" id="{BB01422E-8914-5379-1B86-F148EDD161DE}"/>
                </a:ext>
              </a:extLst>
            </xdr:cNvPr>
            <xdr:cNvCxnSpPr/>
          </xdr:nvCxnSpPr>
          <xdr:spPr bwMode="auto">
            <a:xfrm>
              <a:off x="0" y="5429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56" name="177 Conector recto">
              <a:extLst>
                <a:ext uri="{FF2B5EF4-FFF2-40B4-BE49-F238E27FC236}">
                  <a16:creationId xmlns:a16="http://schemas.microsoft.com/office/drawing/2014/main" id="{4A88F35A-DD30-F56A-875F-7216837C9A3B}"/>
                </a:ext>
              </a:extLst>
            </xdr:cNvPr>
            <xdr:cNvCxnSpPr/>
          </xdr:nvCxnSpPr>
          <xdr:spPr bwMode="auto">
            <a:xfrm>
              <a:off x="0" y="1809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grpSp>
      <xdr:sp macro="" textlink="">
        <xdr:nvSpPr>
          <xdr:cNvPr id="6" name="124 Rectángulo">
            <a:extLst>
              <a:ext uri="{FF2B5EF4-FFF2-40B4-BE49-F238E27FC236}">
                <a16:creationId xmlns:a16="http://schemas.microsoft.com/office/drawing/2014/main" id="{91D95A6A-DF8B-2C38-9567-8D461E94C89A}"/>
              </a:ext>
            </a:extLst>
          </xdr:cNvPr>
          <xdr:cNvSpPr/>
        </xdr:nvSpPr>
        <xdr:spPr bwMode="auto">
          <a:xfrm>
            <a:off x="4365170" y="0"/>
            <a:ext cx="1525147" cy="8918066"/>
          </a:xfrm>
          <a:prstGeom prst="rect">
            <a:avLst/>
          </a:prstGeom>
          <a:noFill/>
          <a:ln w="3175" cap="flat" cmpd="sng" algn="ctr">
            <a:solidFill>
              <a:srgbClr val="0070C0"/>
            </a:solidFill>
            <a:prstDash val="sysDash"/>
            <a:round/>
            <a:headEnd type="none" w="med" len="med"/>
            <a:tailEnd type="none" w="med" len="med"/>
          </a:ln>
          <a:effectLst/>
        </xdr:spPr>
        <xdr:txBody>
          <a:bodyPr vertOverflow="clip" wrap="square" lIns="18288" tIns="0" rIns="0" bIns="0" rtlCol="0" anchor="ctr" upright="1"/>
          <a:lstStyle/>
          <a:p>
            <a:pPr algn="ctr"/>
            <a:endParaRPr lang="en-US" sz="1100"/>
          </a:p>
        </xdr:txBody>
      </xdr:sp>
    </xdr:grpSp>
    <xdr:clientData fPrintsWithSheet="0"/>
  </xdr:twoCellAnchor>
  <xdr:twoCellAnchor>
    <xdr:from>
      <xdr:col>0</xdr:col>
      <xdr:colOff>0</xdr:colOff>
      <xdr:row>0</xdr:row>
      <xdr:rowOff>0</xdr:rowOff>
    </xdr:from>
    <xdr:to>
      <xdr:col>14</xdr:col>
      <xdr:colOff>440531</xdr:colOff>
      <xdr:row>2</xdr:row>
      <xdr:rowOff>137884</xdr:rowOff>
    </xdr:to>
    <xdr:sp macro="" textlink="">
      <xdr:nvSpPr>
        <xdr:cNvPr id="57" name="Rectángulo 56">
          <a:extLst>
            <a:ext uri="{FF2B5EF4-FFF2-40B4-BE49-F238E27FC236}">
              <a16:creationId xmlns:a16="http://schemas.microsoft.com/office/drawing/2014/main" id="{9355EB8B-45B5-45D6-AFE8-733A8155BA9A}"/>
            </a:ext>
          </a:extLst>
        </xdr:cNvPr>
        <xdr:cNvSpPr/>
      </xdr:nvSpPr>
      <xdr:spPr>
        <a:xfrm>
          <a:off x="0" y="0"/>
          <a:ext cx="5907881" cy="426809"/>
        </a:xfrm>
        <a:prstGeom prst="rect">
          <a:avLst/>
        </a:prstGeom>
        <a:solidFill>
          <a:srgbClr val="B3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18</xdr:col>
      <xdr:colOff>143693</xdr:colOff>
      <xdr:row>0</xdr:row>
      <xdr:rowOff>81945</xdr:rowOff>
    </xdr:from>
    <xdr:to>
      <xdr:col>23</xdr:col>
      <xdr:colOff>96976</xdr:colOff>
      <xdr:row>9</xdr:row>
      <xdr:rowOff>42031</xdr:rowOff>
    </xdr:to>
    <xdr:sp macro="" textlink="">
      <xdr:nvSpPr>
        <xdr:cNvPr id="62" name="CuadroTexto 61">
          <a:extLst>
            <a:ext uri="{FF2B5EF4-FFF2-40B4-BE49-F238E27FC236}">
              <a16:creationId xmlns:a16="http://schemas.microsoft.com/office/drawing/2014/main" id="{24B7C530-D753-490B-AC60-92E4A95A1757}"/>
            </a:ext>
          </a:extLst>
        </xdr:cNvPr>
        <xdr:cNvSpPr txBox="1"/>
      </xdr:nvSpPr>
      <xdr:spPr>
        <a:xfrm>
          <a:off x="7227118" y="85120"/>
          <a:ext cx="1909083" cy="1474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700">
              <a:latin typeface="Roboto" panose="02000000000000000000" pitchFamily="2" charset="0"/>
              <a:ea typeface="Roboto" panose="02000000000000000000" pitchFamily="2" charset="0"/>
            </a:rPr>
            <a:t>Texto opcional</a:t>
          </a:r>
          <a:r>
            <a:rPr lang="es-ES" sz="700" baseline="0">
              <a:latin typeface="Roboto" panose="02000000000000000000" pitchFamily="2" charset="0"/>
              <a:ea typeface="Roboto" panose="02000000000000000000" pitchFamily="2" charset="0"/>
            </a:rPr>
            <a:t> de MÁS INFO, con un máximo de 40 palabras.</a:t>
          </a:r>
          <a:endParaRPr lang="es-ES" sz="700">
            <a:latin typeface="Roboto" panose="02000000000000000000" pitchFamily="2" charset="0"/>
            <a:ea typeface="Roboto" panose="02000000000000000000" pitchFamily="2" charset="0"/>
          </a:endParaRPr>
        </a:p>
      </xdr:txBody>
    </xdr:sp>
    <xdr:clientData/>
  </xdr:twoCellAnchor>
  <xdr:twoCellAnchor>
    <xdr:from>
      <xdr:col>0</xdr:col>
      <xdr:colOff>0</xdr:colOff>
      <xdr:row>0</xdr:row>
      <xdr:rowOff>0</xdr:rowOff>
    </xdr:from>
    <xdr:to>
      <xdr:col>2</xdr:col>
      <xdr:colOff>236027</xdr:colOff>
      <xdr:row>1</xdr:row>
      <xdr:rowOff>114025</xdr:rowOff>
    </xdr:to>
    <xdr:sp macro="" textlink="">
      <xdr:nvSpPr>
        <xdr:cNvPr id="63" name="Rectángulo 62">
          <a:extLst>
            <a:ext uri="{FF2B5EF4-FFF2-40B4-BE49-F238E27FC236}">
              <a16:creationId xmlns:a16="http://schemas.microsoft.com/office/drawing/2014/main" id="{A8FFB97C-158A-4BBB-B952-DF73D60A803B}"/>
            </a:ext>
          </a:extLst>
        </xdr:cNvPr>
        <xdr:cNvSpPr/>
      </xdr:nvSpPr>
      <xdr:spPr>
        <a:xfrm>
          <a:off x="0" y="0"/>
          <a:ext cx="1020252" cy="256900"/>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700" b="0" i="0" u="none" strike="noStrike">
              <a:solidFill>
                <a:schemeClr val="tx1"/>
              </a:solidFill>
              <a:latin typeface="Roboto" panose="02000000000000000000" pitchFamily="2" charset="0"/>
              <a:ea typeface="Roboto" panose="02000000000000000000" pitchFamily="2" charset="0"/>
              <a:cs typeface="+mn-cs"/>
            </a:rPr>
            <a:t>Gráfico 1</a:t>
          </a:r>
        </a:p>
      </xdr:txBody>
    </xdr:sp>
    <xdr:clientData/>
  </xdr:twoCellAnchor>
  <xdr:twoCellAnchor>
    <xdr:from>
      <xdr:col>0</xdr:col>
      <xdr:colOff>0</xdr:colOff>
      <xdr:row>1</xdr:row>
      <xdr:rowOff>55756</xdr:rowOff>
    </xdr:from>
    <xdr:to>
      <xdr:col>14</xdr:col>
      <xdr:colOff>442952</xdr:colOff>
      <xdr:row>2</xdr:row>
      <xdr:rowOff>127001</xdr:rowOff>
    </xdr:to>
    <xdr:sp macro="" textlink="">
      <xdr:nvSpPr>
        <xdr:cNvPr id="64" name="Rectángulo 63">
          <a:extLst>
            <a:ext uri="{FF2B5EF4-FFF2-40B4-BE49-F238E27FC236}">
              <a16:creationId xmlns:a16="http://schemas.microsoft.com/office/drawing/2014/main" id="{16374BEA-D2FE-4C5C-8B7C-1280A222C525}"/>
            </a:ext>
          </a:extLst>
        </xdr:cNvPr>
        <xdr:cNvSpPr/>
      </xdr:nvSpPr>
      <xdr:spPr>
        <a:xfrm>
          <a:off x="0" y="198631"/>
          <a:ext cx="5913477" cy="210945"/>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850" b="0" i="0" u="none" strike="noStrike">
              <a:solidFill>
                <a:schemeClr val="tx1"/>
              </a:solidFill>
              <a:latin typeface="Roboto Medium" panose="02000000000000000000" pitchFamily="2" charset="0"/>
              <a:ea typeface="Roboto Medium" panose="02000000000000000000" pitchFamily="2" charset="0"/>
              <a:cs typeface="+mn-cs"/>
            </a:rPr>
            <a:t>Diferencia en la productividad total de los factores de empresas tratadas en comparación con no tratadas</a:t>
          </a:r>
        </a:p>
      </xdr:txBody>
    </xdr:sp>
    <xdr:clientData/>
  </xdr:twoCellAnchor>
  <xdr:twoCellAnchor>
    <xdr:from>
      <xdr:col>0</xdr:col>
      <xdr:colOff>91108</xdr:colOff>
      <xdr:row>17</xdr:row>
      <xdr:rowOff>112441</xdr:rowOff>
    </xdr:from>
    <xdr:to>
      <xdr:col>15</xdr:col>
      <xdr:colOff>130879</xdr:colOff>
      <xdr:row>25</xdr:row>
      <xdr:rowOff>47966</xdr:rowOff>
    </xdr:to>
    <xdr:sp macro="" textlink="" fLocksText="0">
      <xdr:nvSpPr>
        <xdr:cNvPr id="67" name="Rectángulo 66">
          <a:extLst>
            <a:ext uri="{FF2B5EF4-FFF2-40B4-BE49-F238E27FC236}">
              <a16:creationId xmlns:a16="http://schemas.microsoft.com/office/drawing/2014/main" id="{5083E703-3570-438D-BA77-738FE2FBD9FE}"/>
            </a:ext>
          </a:extLst>
        </xdr:cNvPr>
        <xdr:cNvSpPr/>
      </xdr:nvSpPr>
      <xdr:spPr>
        <a:xfrm>
          <a:off x="91108" y="2738028"/>
          <a:ext cx="5936988" cy="1061960"/>
        </a:xfrm>
        <a:prstGeom prst="rect">
          <a:avLst/>
        </a:prstGeom>
        <a:noFill/>
        <a:ln w="5080">
          <a:noFill/>
          <a:miter lim="800000"/>
          <a:headEnd/>
          <a:tailEnd/>
        </a:ln>
        <a:effectLst/>
      </xdr:spPr>
      <xdr:txBody>
        <a:bodyPr vertOverflow="clip" wrap="square" lIns="0" tIns="93600" rIns="0" bIns="0" anchor="t" upright="1"/>
        <a:lstStyle/>
        <a:p>
          <a:pPr marL="0" indent="0" algn="l" rtl="0">
            <a:defRPr sz="1000"/>
          </a:pPr>
          <a:r>
            <a:rPr lang="es-ES" sz="700" b="0" i="0" u="none" strike="noStrike">
              <a:solidFill>
                <a:schemeClr val="tx1"/>
              </a:solidFill>
              <a:latin typeface="Roboto Medium" panose="02000000000000000000" pitchFamily="2" charset="0"/>
              <a:ea typeface="Roboto Medium" panose="02000000000000000000" pitchFamily="2" charset="0"/>
              <a:cs typeface="Arial"/>
            </a:rPr>
            <a:t>FUENTE: </a:t>
          </a:r>
          <a:r>
            <a:rPr lang="es-ES" sz="700" b="0" i="0" u="none" strike="noStrike">
              <a:solidFill>
                <a:schemeClr val="tx1"/>
              </a:solidFill>
              <a:latin typeface="Roboto Light" panose="02000000000000000000" pitchFamily="2" charset="0"/>
              <a:ea typeface="Roboto Light" panose="02000000000000000000" pitchFamily="2" charset="0"/>
              <a:cs typeface="Arial"/>
            </a:rPr>
            <a:t>Banco de España (CBI) y Red.es.</a:t>
          </a:r>
          <a:r>
            <a:rPr lang="es-ES" sz="700" b="0" i="0" u="none" strike="noStrike" baseline="0">
              <a:solidFill>
                <a:schemeClr val="tx1"/>
              </a:solidFill>
              <a:latin typeface="Roboto Light" panose="02000000000000000000" pitchFamily="2" charset="0"/>
              <a:ea typeface="Roboto Light" panose="02000000000000000000" pitchFamily="2" charset="0"/>
              <a:cs typeface="Arial"/>
            </a:rPr>
            <a:t> </a:t>
          </a:r>
          <a:r>
            <a:rPr lang="es-ES" sz="700" b="0" i="0" u="none" strike="noStrike">
              <a:solidFill>
                <a:schemeClr val="tx1"/>
              </a:solidFill>
              <a:latin typeface="BdE Neue Helvetica 45 Light"/>
              <a:ea typeface="+mn-ea"/>
              <a:cs typeface="Arial"/>
            </a:rPr>
            <a:t>
</a:t>
          </a:r>
          <a:endParaRPr lang="es-ES" sz="700" b="0" i="0" u="none" strike="noStrike">
            <a:solidFill>
              <a:schemeClr val="tx1"/>
            </a:solidFill>
            <a:latin typeface="Roboto Light" panose="02000000000000000000" pitchFamily="2" charset="0"/>
            <a:ea typeface="Roboto Light" panose="02000000000000000000" pitchFamily="2" charset="0"/>
            <a:cs typeface="Arial"/>
          </a:endParaRPr>
        </a:p>
      </xdr:txBody>
    </xdr:sp>
    <xdr:clientData fLocksWithSheet="0"/>
  </xdr:twoCellAnchor>
  <xdr:twoCellAnchor>
    <xdr:from>
      <xdr:col>0</xdr:col>
      <xdr:colOff>0</xdr:colOff>
      <xdr:row>3</xdr:row>
      <xdr:rowOff>33129</xdr:rowOff>
    </xdr:from>
    <xdr:to>
      <xdr:col>15</xdr:col>
      <xdr:colOff>140408</xdr:colOff>
      <xdr:row>17</xdr:row>
      <xdr:rowOff>77205</xdr:rowOff>
    </xdr:to>
    <xdr:graphicFrame macro="">
      <xdr:nvGraphicFramePr>
        <xdr:cNvPr id="68" name="Gráfico 67">
          <a:extLst>
            <a:ext uri="{FF2B5EF4-FFF2-40B4-BE49-F238E27FC236}">
              <a16:creationId xmlns:a16="http://schemas.microsoft.com/office/drawing/2014/main" id="{2562AA82-AE82-429E-881B-896D9ED0B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244969</xdr:colOff>
      <xdr:row>64</xdr:row>
      <xdr:rowOff>91875</xdr:rowOff>
    </xdr:to>
    <xdr:grpSp>
      <xdr:nvGrpSpPr>
        <xdr:cNvPr id="58" name="Grupo 57">
          <a:extLst>
            <a:ext uri="{FF2B5EF4-FFF2-40B4-BE49-F238E27FC236}">
              <a16:creationId xmlns:a16="http://schemas.microsoft.com/office/drawing/2014/main" id="{D00F2E4C-C62F-4A61-B6C5-A66EECB0A9F4}"/>
            </a:ext>
          </a:extLst>
        </xdr:cNvPr>
        <xdr:cNvGrpSpPr/>
      </xdr:nvGrpSpPr>
      <xdr:grpSpPr>
        <a:xfrm>
          <a:off x="0" y="0"/>
          <a:ext cx="6210000" cy="8712000"/>
          <a:chOff x="0" y="0"/>
          <a:chExt cx="5950699" cy="8925636"/>
        </a:xfrm>
      </xdr:grpSpPr>
      <xdr:sp macro="" textlink="">
        <xdr:nvSpPr>
          <xdr:cNvPr id="59" name="6 Rectángulo">
            <a:extLst>
              <a:ext uri="{FF2B5EF4-FFF2-40B4-BE49-F238E27FC236}">
                <a16:creationId xmlns:a16="http://schemas.microsoft.com/office/drawing/2014/main" id="{0CCABAC1-BADE-59C0-1634-DD55DB601F17}"/>
              </a:ext>
            </a:extLst>
          </xdr:cNvPr>
          <xdr:cNvSpPr/>
        </xdr:nvSpPr>
        <xdr:spPr bwMode="auto">
          <a:xfrm>
            <a:off x="91233" y="0"/>
            <a:ext cx="2792210" cy="8924608"/>
          </a:xfrm>
          <a:prstGeom prst="rect">
            <a:avLst/>
          </a:prstGeom>
          <a:noFill/>
          <a:ln w="3175" cap="flat" cmpd="sng" algn="ctr">
            <a:solidFill>
              <a:srgbClr val="0070C0"/>
            </a:solidFill>
            <a:prstDash val="sysDash"/>
            <a:miter lim="800000"/>
            <a:headEnd type="none" w="med" len="med"/>
            <a:tailEnd type="none" w="med" len="med"/>
          </a:ln>
          <a:effectLst/>
        </xdr:spPr>
        <xdr:txBody>
          <a:bodyPr vertOverflow="clip" wrap="none" lIns="0" tIns="0" rIns="0" bIns="0" rtlCol="0" anchor="t" anchorCtr="0" upright="1"/>
          <a:lstStyle/>
          <a:p>
            <a:pPr algn="ctr"/>
            <a:endParaRPr lang="en-US" sz="1100"/>
          </a:p>
        </xdr:txBody>
      </xdr:sp>
      <xdr:sp macro="" textlink="">
        <xdr:nvSpPr>
          <xdr:cNvPr id="62" name="7 Rectángulo">
            <a:extLst>
              <a:ext uri="{FF2B5EF4-FFF2-40B4-BE49-F238E27FC236}">
                <a16:creationId xmlns:a16="http://schemas.microsoft.com/office/drawing/2014/main" id="{B34F6C2D-83B7-B765-DE34-F5C31BA8536D}"/>
              </a:ext>
            </a:extLst>
          </xdr:cNvPr>
          <xdr:cNvSpPr/>
        </xdr:nvSpPr>
        <xdr:spPr bwMode="auto">
          <a:xfrm>
            <a:off x="0" y="0"/>
            <a:ext cx="2975197" cy="8925636"/>
          </a:xfrm>
          <a:prstGeom prst="rect">
            <a:avLst/>
          </a:prstGeom>
          <a:noFill/>
          <a:ln w="3175" cap="flat" cmpd="sng" algn="ctr">
            <a:solidFill>
              <a:srgbClr val="FF0000"/>
            </a:solidFill>
            <a:prstDash val="solid"/>
            <a:miter lim="800000"/>
            <a:headEnd type="none" w="med" len="med"/>
            <a:tailEnd type="none" w="med" len="med"/>
          </a:ln>
          <a:effectLst/>
        </xdr:spPr>
        <xdr:txBody>
          <a:bodyPr vertOverflow="clip" wrap="none" lIns="0" tIns="0" rIns="0" bIns="0" rtlCol="0" anchor="t" anchorCtr="0" upright="1"/>
          <a:lstStyle/>
          <a:p>
            <a:pPr algn="ctr"/>
            <a:endParaRPr lang="en-US" sz="1100"/>
          </a:p>
        </xdr:txBody>
      </xdr:sp>
      <xdr:grpSp>
        <xdr:nvGrpSpPr>
          <xdr:cNvPr id="65" name="250 Grupo">
            <a:extLst>
              <a:ext uri="{FF2B5EF4-FFF2-40B4-BE49-F238E27FC236}">
                <a16:creationId xmlns:a16="http://schemas.microsoft.com/office/drawing/2014/main" id="{79AF894F-A362-9EFC-1261-1B3EB9AFBED8}"/>
              </a:ext>
            </a:extLst>
          </xdr:cNvPr>
          <xdr:cNvGrpSpPr/>
        </xdr:nvGrpSpPr>
        <xdr:grpSpPr>
          <a:xfrm>
            <a:off x="0" y="176022"/>
            <a:ext cx="5950699" cy="8625062"/>
            <a:chOff x="0" y="180975"/>
            <a:chExt cx="6165309" cy="8867775"/>
          </a:xfrm>
        </xdr:grpSpPr>
        <xdr:cxnSp macro="">
          <xdr:nvCxnSpPr>
            <xdr:cNvPr id="71" name="11 Conector recto">
              <a:extLst>
                <a:ext uri="{FF2B5EF4-FFF2-40B4-BE49-F238E27FC236}">
                  <a16:creationId xmlns:a16="http://schemas.microsoft.com/office/drawing/2014/main" id="{84BE45BC-AE0C-0AB9-821F-4E823021D81E}"/>
                </a:ext>
              </a:extLst>
            </xdr:cNvPr>
            <xdr:cNvCxnSpPr/>
          </xdr:nvCxnSpPr>
          <xdr:spPr bwMode="auto">
            <a:xfrm>
              <a:off x="0" y="43434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2" name="12 Conector recto">
              <a:extLst>
                <a:ext uri="{FF2B5EF4-FFF2-40B4-BE49-F238E27FC236}">
                  <a16:creationId xmlns:a16="http://schemas.microsoft.com/office/drawing/2014/main" id="{3664C964-09D5-02E7-CFD5-3A7AB797C146}"/>
                </a:ext>
              </a:extLst>
            </xdr:cNvPr>
            <xdr:cNvCxnSpPr/>
          </xdr:nvCxnSpPr>
          <xdr:spPr bwMode="auto">
            <a:xfrm>
              <a:off x="0" y="45243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3" name="13 Conector recto">
              <a:extLst>
                <a:ext uri="{FF2B5EF4-FFF2-40B4-BE49-F238E27FC236}">
                  <a16:creationId xmlns:a16="http://schemas.microsoft.com/office/drawing/2014/main" id="{C0AB2028-41D8-42DB-EFDD-2AEEDA7A789D}"/>
                </a:ext>
              </a:extLst>
            </xdr:cNvPr>
            <xdr:cNvCxnSpPr/>
          </xdr:nvCxnSpPr>
          <xdr:spPr bwMode="auto">
            <a:xfrm>
              <a:off x="0" y="47053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4" name="14 Conector recto">
              <a:extLst>
                <a:ext uri="{FF2B5EF4-FFF2-40B4-BE49-F238E27FC236}">
                  <a16:creationId xmlns:a16="http://schemas.microsoft.com/office/drawing/2014/main" id="{E3BBD32F-2B80-0C81-E45F-66D387747DED}"/>
                </a:ext>
              </a:extLst>
            </xdr:cNvPr>
            <xdr:cNvCxnSpPr/>
          </xdr:nvCxnSpPr>
          <xdr:spPr bwMode="auto">
            <a:xfrm>
              <a:off x="0" y="48863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5" name="15 Conector recto">
              <a:extLst>
                <a:ext uri="{FF2B5EF4-FFF2-40B4-BE49-F238E27FC236}">
                  <a16:creationId xmlns:a16="http://schemas.microsoft.com/office/drawing/2014/main" id="{6CFD765B-6C44-A978-F2BD-D7F38CFDB48D}"/>
                </a:ext>
              </a:extLst>
            </xdr:cNvPr>
            <xdr:cNvCxnSpPr/>
          </xdr:nvCxnSpPr>
          <xdr:spPr bwMode="auto">
            <a:xfrm>
              <a:off x="0" y="50673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6" name="16 Conector recto">
              <a:extLst>
                <a:ext uri="{FF2B5EF4-FFF2-40B4-BE49-F238E27FC236}">
                  <a16:creationId xmlns:a16="http://schemas.microsoft.com/office/drawing/2014/main" id="{76881F95-7A41-8E3D-0360-0F30B3859F05}"/>
                </a:ext>
              </a:extLst>
            </xdr:cNvPr>
            <xdr:cNvCxnSpPr/>
          </xdr:nvCxnSpPr>
          <xdr:spPr bwMode="auto">
            <a:xfrm>
              <a:off x="0" y="52482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7" name="17 Conector recto">
              <a:extLst>
                <a:ext uri="{FF2B5EF4-FFF2-40B4-BE49-F238E27FC236}">
                  <a16:creationId xmlns:a16="http://schemas.microsoft.com/office/drawing/2014/main" id="{BB66D74C-E734-1137-5080-BBDDEDD7D4B2}"/>
                </a:ext>
              </a:extLst>
            </xdr:cNvPr>
            <xdr:cNvCxnSpPr/>
          </xdr:nvCxnSpPr>
          <xdr:spPr bwMode="auto">
            <a:xfrm>
              <a:off x="0" y="54292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8" name="18 Conector recto">
              <a:extLst>
                <a:ext uri="{FF2B5EF4-FFF2-40B4-BE49-F238E27FC236}">
                  <a16:creationId xmlns:a16="http://schemas.microsoft.com/office/drawing/2014/main" id="{1C26EA05-3DD7-D120-83C7-A596F6B3B124}"/>
                </a:ext>
              </a:extLst>
            </xdr:cNvPr>
            <xdr:cNvCxnSpPr/>
          </xdr:nvCxnSpPr>
          <xdr:spPr bwMode="auto">
            <a:xfrm>
              <a:off x="0" y="56102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79" name="19 Conector recto">
              <a:extLst>
                <a:ext uri="{FF2B5EF4-FFF2-40B4-BE49-F238E27FC236}">
                  <a16:creationId xmlns:a16="http://schemas.microsoft.com/office/drawing/2014/main" id="{CF60EE6C-01AC-0E6B-3336-55B3D55922E9}"/>
                </a:ext>
              </a:extLst>
            </xdr:cNvPr>
            <xdr:cNvCxnSpPr/>
          </xdr:nvCxnSpPr>
          <xdr:spPr bwMode="auto">
            <a:xfrm>
              <a:off x="0" y="57912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0" name="20 Conector recto">
              <a:extLst>
                <a:ext uri="{FF2B5EF4-FFF2-40B4-BE49-F238E27FC236}">
                  <a16:creationId xmlns:a16="http://schemas.microsoft.com/office/drawing/2014/main" id="{5C45ED3A-6723-A867-E706-BCBE025657DA}"/>
                </a:ext>
              </a:extLst>
            </xdr:cNvPr>
            <xdr:cNvCxnSpPr/>
          </xdr:nvCxnSpPr>
          <xdr:spPr bwMode="auto">
            <a:xfrm>
              <a:off x="0" y="59721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1" name="21 Conector recto">
              <a:extLst>
                <a:ext uri="{FF2B5EF4-FFF2-40B4-BE49-F238E27FC236}">
                  <a16:creationId xmlns:a16="http://schemas.microsoft.com/office/drawing/2014/main" id="{97F4C053-402E-EBBB-95F3-3D7BFE64A1D7}"/>
                </a:ext>
              </a:extLst>
            </xdr:cNvPr>
            <xdr:cNvCxnSpPr/>
          </xdr:nvCxnSpPr>
          <xdr:spPr bwMode="auto">
            <a:xfrm>
              <a:off x="0" y="61531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2" name="22 Conector recto">
              <a:extLst>
                <a:ext uri="{FF2B5EF4-FFF2-40B4-BE49-F238E27FC236}">
                  <a16:creationId xmlns:a16="http://schemas.microsoft.com/office/drawing/2014/main" id="{594A4CEB-072D-22EA-7FCC-82E9B7461E00}"/>
                </a:ext>
              </a:extLst>
            </xdr:cNvPr>
            <xdr:cNvCxnSpPr/>
          </xdr:nvCxnSpPr>
          <xdr:spPr bwMode="auto">
            <a:xfrm>
              <a:off x="0" y="63341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3" name="23 Conector recto">
              <a:extLst>
                <a:ext uri="{FF2B5EF4-FFF2-40B4-BE49-F238E27FC236}">
                  <a16:creationId xmlns:a16="http://schemas.microsoft.com/office/drawing/2014/main" id="{CA4593F0-660A-E6A4-FD67-8D7BF0615651}"/>
                </a:ext>
              </a:extLst>
            </xdr:cNvPr>
            <xdr:cNvCxnSpPr/>
          </xdr:nvCxnSpPr>
          <xdr:spPr bwMode="auto">
            <a:xfrm>
              <a:off x="0" y="65151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4" name="24 Conector recto">
              <a:extLst>
                <a:ext uri="{FF2B5EF4-FFF2-40B4-BE49-F238E27FC236}">
                  <a16:creationId xmlns:a16="http://schemas.microsoft.com/office/drawing/2014/main" id="{093863A0-B047-DC41-472E-BD8017B99660}"/>
                </a:ext>
              </a:extLst>
            </xdr:cNvPr>
            <xdr:cNvCxnSpPr/>
          </xdr:nvCxnSpPr>
          <xdr:spPr bwMode="auto">
            <a:xfrm>
              <a:off x="0" y="66960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5" name="25 Conector recto">
              <a:extLst>
                <a:ext uri="{FF2B5EF4-FFF2-40B4-BE49-F238E27FC236}">
                  <a16:creationId xmlns:a16="http://schemas.microsoft.com/office/drawing/2014/main" id="{FCE65F29-5E88-F0BC-237B-C1E4A2AFDCE2}"/>
                </a:ext>
              </a:extLst>
            </xdr:cNvPr>
            <xdr:cNvCxnSpPr/>
          </xdr:nvCxnSpPr>
          <xdr:spPr bwMode="auto">
            <a:xfrm>
              <a:off x="0" y="68770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6" name="26 Conector recto">
              <a:extLst>
                <a:ext uri="{FF2B5EF4-FFF2-40B4-BE49-F238E27FC236}">
                  <a16:creationId xmlns:a16="http://schemas.microsoft.com/office/drawing/2014/main" id="{285F21EC-3493-673D-D39A-5883B5E82A0B}"/>
                </a:ext>
              </a:extLst>
            </xdr:cNvPr>
            <xdr:cNvCxnSpPr/>
          </xdr:nvCxnSpPr>
          <xdr:spPr bwMode="auto">
            <a:xfrm>
              <a:off x="0" y="70580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7" name="27 Conector recto">
              <a:extLst>
                <a:ext uri="{FF2B5EF4-FFF2-40B4-BE49-F238E27FC236}">
                  <a16:creationId xmlns:a16="http://schemas.microsoft.com/office/drawing/2014/main" id="{5D324D39-FA36-3254-CC5B-7EE00A433FD6}"/>
                </a:ext>
              </a:extLst>
            </xdr:cNvPr>
            <xdr:cNvCxnSpPr/>
          </xdr:nvCxnSpPr>
          <xdr:spPr bwMode="auto">
            <a:xfrm>
              <a:off x="0" y="72390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8" name="28 Conector recto">
              <a:extLst>
                <a:ext uri="{FF2B5EF4-FFF2-40B4-BE49-F238E27FC236}">
                  <a16:creationId xmlns:a16="http://schemas.microsoft.com/office/drawing/2014/main" id="{CEA66D7E-C02E-C439-27D0-811AD6C882F2}"/>
                </a:ext>
              </a:extLst>
            </xdr:cNvPr>
            <xdr:cNvCxnSpPr/>
          </xdr:nvCxnSpPr>
          <xdr:spPr bwMode="auto">
            <a:xfrm>
              <a:off x="0" y="74199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89" name="29 Conector recto">
              <a:extLst>
                <a:ext uri="{FF2B5EF4-FFF2-40B4-BE49-F238E27FC236}">
                  <a16:creationId xmlns:a16="http://schemas.microsoft.com/office/drawing/2014/main" id="{9BF4E34D-ED2F-F953-B062-434E5F6D5BB4}"/>
                </a:ext>
              </a:extLst>
            </xdr:cNvPr>
            <xdr:cNvCxnSpPr/>
          </xdr:nvCxnSpPr>
          <xdr:spPr bwMode="auto">
            <a:xfrm>
              <a:off x="0" y="76009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0" name="30 Conector recto">
              <a:extLst>
                <a:ext uri="{FF2B5EF4-FFF2-40B4-BE49-F238E27FC236}">
                  <a16:creationId xmlns:a16="http://schemas.microsoft.com/office/drawing/2014/main" id="{772EA1C6-6CAF-8171-55CD-36A2FB44D64A}"/>
                </a:ext>
              </a:extLst>
            </xdr:cNvPr>
            <xdr:cNvCxnSpPr/>
          </xdr:nvCxnSpPr>
          <xdr:spPr bwMode="auto">
            <a:xfrm>
              <a:off x="0" y="7781925"/>
              <a:ext cx="6165309" cy="0"/>
            </a:xfrm>
            <a:prstGeom prst="line">
              <a:avLst/>
            </a:prstGeom>
            <a:solidFill>
              <a:srgbClr val="C0C0C0"/>
            </a:solidFill>
            <a:ln w="3175" cap="flat" cmpd="sng" algn="ctr">
              <a:solidFill>
                <a:schemeClr val="accent2"/>
              </a:solidFill>
              <a:prstDash val="sysDash"/>
              <a:round/>
              <a:headEnd type="none" w="med" len="med"/>
              <a:tailEnd type="none" w="med" len="med"/>
            </a:ln>
            <a:effectLst/>
          </xdr:spPr>
        </xdr:cxnSp>
        <xdr:cxnSp macro="">
          <xdr:nvCxnSpPr>
            <xdr:cNvPr id="91" name="31 Conector recto">
              <a:extLst>
                <a:ext uri="{FF2B5EF4-FFF2-40B4-BE49-F238E27FC236}">
                  <a16:creationId xmlns:a16="http://schemas.microsoft.com/office/drawing/2014/main" id="{C431EA72-1B37-E553-B884-92726FC0E888}"/>
                </a:ext>
              </a:extLst>
            </xdr:cNvPr>
            <xdr:cNvCxnSpPr/>
          </xdr:nvCxnSpPr>
          <xdr:spPr bwMode="auto">
            <a:xfrm>
              <a:off x="0" y="79629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2" name="32 Conector recto">
              <a:extLst>
                <a:ext uri="{FF2B5EF4-FFF2-40B4-BE49-F238E27FC236}">
                  <a16:creationId xmlns:a16="http://schemas.microsoft.com/office/drawing/2014/main" id="{2C8BB0DE-B959-6095-452F-0020B26B2CC2}"/>
                </a:ext>
              </a:extLst>
            </xdr:cNvPr>
            <xdr:cNvCxnSpPr/>
          </xdr:nvCxnSpPr>
          <xdr:spPr bwMode="auto">
            <a:xfrm>
              <a:off x="0" y="81438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3" name="33 Conector recto">
              <a:extLst>
                <a:ext uri="{FF2B5EF4-FFF2-40B4-BE49-F238E27FC236}">
                  <a16:creationId xmlns:a16="http://schemas.microsoft.com/office/drawing/2014/main" id="{3A28BB6C-4E96-63C6-D882-838BF30BB97D}"/>
                </a:ext>
              </a:extLst>
            </xdr:cNvPr>
            <xdr:cNvCxnSpPr/>
          </xdr:nvCxnSpPr>
          <xdr:spPr bwMode="auto">
            <a:xfrm>
              <a:off x="0" y="83248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4" name="34 Conector recto">
              <a:extLst>
                <a:ext uri="{FF2B5EF4-FFF2-40B4-BE49-F238E27FC236}">
                  <a16:creationId xmlns:a16="http://schemas.microsoft.com/office/drawing/2014/main" id="{8D0F8517-6F21-EC5B-1732-BB3DF0BBCB78}"/>
                </a:ext>
              </a:extLst>
            </xdr:cNvPr>
            <xdr:cNvCxnSpPr/>
          </xdr:nvCxnSpPr>
          <xdr:spPr bwMode="auto">
            <a:xfrm>
              <a:off x="0" y="85058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5" name="35 Conector recto">
              <a:extLst>
                <a:ext uri="{FF2B5EF4-FFF2-40B4-BE49-F238E27FC236}">
                  <a16:creationId xmlns:a16="http://schemas.microsoft.com/office/drawing/2014/main" id="{1B58785D-09CD-FAAC-FC24-2063FAE2D860}"/>
                </a:ext>
              </a:extLst>
            </xdr:cNvPr>
            <xdr:cNvCxnSpPr/>
          </xdr:nvCxnSpPr>
          <xdr:spPr bwMode="auto">
            <a:xfrm>
              <a:off x="0" y="86868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6" name="36 Conector recto">
              <a:extLst>
                <a:ext uri="{FF2B5EF4-FFF2-40B4-BE49-F238E27FC236}">
                  <a16:creationId xmlns:a16="http://schemas.microsoft.com/office/drawing/2014/main" id="{9B94E1B4-26AE-F9A6-B4CE-DE9AA0379207}"/>
                </a:ext>
              </a:extLst>
            </xdr:cNvPr>
            <xdr:cNvCxnSpPr/>
          </xdr:nvCxnSpPr>
          <xdr:spPr bwMode="auto">
            <a:xfrm>
              <a:off x="0" y="88677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7" name="37 Conector recto">
              <a:extLst>
                <a:ext uri="{FF2B5EF4-FFF2-40B4-BE49-F238E27FC236}">
                  <a16:creationId xmlns:a16="http://schemas.microsoft.com/office/drawing/2014/main" id="{DF8F4244-B23C-C2FD-C9F5-DDA1C3D2D61E}"/>
                </a:ext>
              </a:extLst>
            </xdr:cNvPr>
            <xdr:cNvCxnSpPr/>
          </xdr:nvCxnSpPr>
          <xdr:spPr bwMode="auto">
            <a:xfrm>
              <a:off x="0" y="90487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8" name="38 Conector recto">
              <a:extLst>
                <a:ext uri="{FF2B5EF4-FFF2-40B4-BE49-F238E27FC236}">
                  <a16:creationId xmlns:a16="http://schemas.microsoft.com/office/drawing/2014/main" id="{8152CD55-E1E3-379D-56B7-A13A13F7F032}"/>
                </a:ext>
              </a:extLst>
            </xdr:cNvPr>
            <xdr:cNvCxnSpPr/>
          </xdr:nvCxnSpPr>
          <xdr:spPr bwMode="auto">
            <a:xfrm>
              <a:off x="0" y="27146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99" name="39 Conector recto">
              <a:extLst>
                <a:ext uri="{FF2B5EF4-FFF2-40B4-BE49-F238E27FC236}">
                  <a16:creationId xmlns:a16="http://schemas.microsoft.com/office/drawing/2014/main" id="{27C1C20E-325C-04B2-8239-64D3139314B3}"/>
                </a:ext>
              </a:extLst>
            </xdr:cNvPr>
            <xdr:cNvCxnSpPr/>
          </xdr:nvCxnSpPr>
          <xdr:spPr bwMode="auto">
            <a:xfrm>
              <a:off x="0" y="28956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0" name="40 Conector recto">
              <a:extLst>
                <a:ext uri="{FF2B5EF4-FFF2-40B4-BE49-F238E27FC236}">
                  <a16:creationId xmlns:a16="http://schemas.microsoft.com/office/drawing/2014/main" id="{95539AD9-6913-B5B2-B183-2DBAAE6153E1}"/>
                </a:ext>
              </a:extLst>
            </xdr:cNvPr>
            <xdr:cNvCxnSpPr/>
          </xdr:nvCxnSpPr>
          <xdr:spPr bwMode="auto">
            <a:xfrm>
              <a:off x="0" y="30765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1" name="41 Conector recto">
              <a:extLst>
                <a:ext uri="{FF2B5EF4-FFF2-40B4-BE49-F238E27FC236}">
                  <a16:creationId xmlns:a16="http://schemas.microsoft.com/office/drawing/2014/main" id="{0770CD14-5DA9-D1C1-D63E-EEFF52CCFAA0}"/>
                </a:ext>
              </a:extLst>
            </xdr:cNvPr>
            <xdr:cNvCxnSpPr/>
          </xdr:nvCxnSpPr>
          <xdr:spPr bwMode="auto">
            <a:xfrm>
              <a:off x="0" y="32575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2" name="42 Conector recto">
              <a:extLst>
                <a:ext uri="{FF2B5EF4-FFF2-40B4-BE49-F238E27FC236}">
                  <a16:creationId xmlns:a16="http://schemas.microsoft.com/office/drawing/2014/main" id="{3C800E00-8A6F-39F7-0BC6-6B8336B8108D}"/>
                </a:ext>
              </a:extLst>
            </xdr:cNvPr>
            <xdr:cNvCxnSpPr/>
          </xdr:nvCxnSpPr>
          <xdr:spPr bwMode="auto">
            <a:xfrm>
              <a:off x="0" y="34385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3" name="43 Conector recto">
              <a:extLst>
                <a:ext uri="{FF2B5EF4-FFF2-40B4-BE49-F238E27FC236}">
                  <a16:creationId xmlns:a16="http://schemas.microsoft.com/office/drawing/2014/main" id="{71D770A4-A4D7-4783-E3AB-45D9281F8300}"/>
                </a:ext>
              </a:extLst>
            </xdr:cNvPr>
            <xdr:cNvCxnSpPr/>
          </xdr:nvCxnSpPr>
          <xdr:spPr bwMode="auto">
            <a:xfrm>
              <a:off x="0" y="36195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4" name="44 Conector recto">
              <a:extLst>
                <a:ext uri="{FF2B5EF4-FFF2-40B4-BE49-F238E27FC236}">
                  <a16:creationId xmlns:a16="http://schemas.microsoft.com/office/drawing/2014/main" id="{0E543CEF-DEF3-B60A-86EA-ABF614678AB7}"/>
                </a:ext>
              </a:extLst>
            </xdr:cNvPr>
            <xdr:cNvCxnSpPr/>
          </xdr:nvCxnSpPr>
          <xdr:spPr bwMode="auto">
            <a:xfrm>
              <a:off x="0" y="38004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5" name="45 Conector recto">
              <a:extLst>
                <a:ext uri="{FF2B5EF4-FFF2-40B4-BE49-F238E27FC236}">
                  <a16:creationId xmlns:a16="http://schemas.microsoft.com/office/drawing/2014/main" id="{ED16168C-D890-A688-4D46-869CCFEC26C0}"/>
                </a:ext>
              </a:extLst>
            </xdr:cNvPr>
            <xdr:cNvCxnSpPr/>
          </xdr:nvCxnSpPr>
          <xdr:spPr bwMode="auto">
            <a:xfrm>
              <a:off x="0" y="39814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6" name="46 Conector recto">
              <a:extLst>
                <a:ext uri="{FF2B5EF4-FFF2-40B4-BE49-F238E27FC236}">
                  <a16:creationId xmlns:a16="http://schemas.microsoft.com/office/drawing/2014/main" id="{294FF216-0414-F40A-B22B-8D28C787A062}"/>
                </a:ext>
              </a:extLst>
            </xdr:cNvPr>
            <xdr:cNvCxnSpPr/>
          </xdr:nvCxnSpPr>
          <xdr:spPr bwMode="auto">
            <a:xfrm>
              <a:off x="0" y="41624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7" name="47 Conector recto">
              <a:extLst>
                <a:ext uri="{FF2B5EF4-FFF2-40B4-BE49-F238E27FC236}">
                  <a16:creationId xmlns:a16="http://schemas.microsoft.com/office/drawing/2014/main" id="{52614497-E625-0301-A705-E7EE8B8B6B02}"/>
                </a:ext>
              </a:extLst>
            </xdr:cNvPr>
            <xdr:cNvCxnSpPr/>
          </xdr:nvCxnSpPr>
          <xdr:spPr bwMode="auto">
            <a:xfrm>
              <a:off x="0" y="10858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8" name="48 Conector recto">
              <a:extLst>
                <a:ext uri="{FF2B5EF4-FFF2-40B4-BE49-F238E27FC236}">
                  <a16:creationId xmlns:a16="http://schemas.microsoft.com/office/drawing/2014/main" id="{5D7A02F5-07C5-0416-D486-9FD05DE1A3E9}"/>
                </a:ext>
              </a:extLst>
            </xdr:cNvPr>
            <xdr:cNvCxnSpPr/>
          </xdr:nvCxnSpPr>
          <xdr:spPr bwMode="auto">
            <a:xfrm>
              <a:off x="0" y="12668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09" name="49 Conector recto">
              <a:extLst>
                <a:ext uri="{FF2B5EF4-FFF2-40B4-BE49-F238E27FC236}">
                  <a16:creationId xmlns:a16="http://schemas.microsoft.com/office/drawing/2014/main" id="{FCC4BC68-05CF-6599-C574-177E06B507BC}"/>
                </a:ext>
              </a:extLst>
            </xdr:cNvPr>
            <xdr:cNvCxnSpPr/>
          </xdr:nvCxnSpPr>
          <xdr:spPr bwMode="auto">
            <a:xfrm>
              <a:off x="0" y="14478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0" name="50 Conector recto">
              <a:extLst>
                <a:ext uri="{FF2B5EF4-FFF2-40B4-BE49-F238E27FC236}">
                  <a16:creationId xmlns:a16="http://schemas.microsoft.com/office/drawing/2014/main" id="{D3565A6A-BFB8-DBB5-A719-7733453265B1}"/>
                </a:ext>
              </a:extLst>
            </xdr:cNvPr>
            <xdr:cNvCxnSpPr/>
          </xdr:nvCxnSpPr>
          <xdr:spPr bwMode="auto">
            <a:xfrm>
              <a:off x="0" y="16287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1" name="51 Conector recto">
              <a:extLst>
                <a:ext uri="{FF2B5EF4-FFF2-40B4-BE49-F238E27FC236}">
                  <a16:creationId xmlns:a16="http://schemas.microsoft.com/office/drawing/2014/main" id="{7AFC1F01-505B-6111-903C-9E2B7DC27073}"/>
                </a:ext>
              </a:extLst>
            </xdr:cNvPr>
            <xdr:cNvCxnSpPr/>
          </xdr:nvCxnSpPr>
          <xdr:spPr bwMode="auto">
            <a:xfrm>
              <a:off x="0" y="18097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2" name="52 Conector recto">
              <a:extLst>
                <a:ext uri="{FF2B5EF4-FFF2-40B4-BE49-F238E27FC236}">
                  <a16:creationId xmlns:a16="http://schemas.microsoft.com/office/drawing/2014/main" id="{9ACFD3F3-5DAE-A46F-D935-5773398E48A5}"/>
                </a:ext>
              </a:extLst>
            </xdr:cNvPr>
            <xdr:cNvCxnSpPr/>
          </xdr:nvCxnSpPr>
          <xdr:spPr bwMode="auto">
            <a:xfrm>
              <a:off x="0" y="19907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3" name="53 Conector recto">
              <a:extLst>
                <a:ext uri="{FF2B5EF4-FFF2-40B4-BE49-F238E27FC236}">
                  <a16:creationId xmlns:a16="http://schemas.microsoft.com/office/drawing/2014/main" id="{ABD4B500-0C63-1241-4BF6-3114FA405E8C}"/>
                </a:ext>
              </a:extLst>
            </xdr:cNvPr>
            <xdr:cNvCxnSpPr/>
          </xdr:nvCxnSpPr>
          <xdr:spPr bwMode="auto">
            <a:xfrm>
              <a:off x="0" y="21717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4" name="54 Conector recto">
              <a:extLst>
                <a:ext uri="{FF2B5EF4-FFF2-40B4-BE49-F238E27FC236}">
                  <a16:creationId xmlns:a16="http://schemas.microsoft.com/office/drawing/2014/main" id="{832ECA1D-CD49-7388-5E91-0E586D880A4B}"/>
                </a:ext>
              </a:extLst>
            </xdr:cNvPr>
            <xdr:cNvCxnSpPr/>
          </xdr:nvCxnSpPr>
          <xdr:spPr bwMode="auto">
            <a:xfrm>
              <a:off x="0" y="23526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5" name="55 Conector recto">
              <a:extLst>
                <a:ext uri="{FF2B5EF4-FFF2-40B4-BE49-F238E27FC236}">
                  <a16:creationId xmlns:a16="http://schemas.microsoft.com/office/drawing/2014/main" id="{6012D52E-2FE0-BB28-CC50-406EEA7E3A59}"/>
                </a:ext>
              </a:extLst>
            </xdr:cNvPr>
            <xdr:cNvCxnSpPr/>
          </xdr:nvCxnSpPr>
          <xdr:spPr bwMode="auto">
            <a:xfrm>
              <a:off x="0" y="25336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6" name="56 Conector recto">
              <a:extLst>
                <a:ext uri="{FF2B5EF4-FFF2-40B4-BE49-F238E27FC236}">
                  <a16:creationId xmlns:a16="http://schemas.microsoft.com/office/drawing/2014/main" id="{C11F5E9A-A20E-6B3B-ED95-B0D6513574D8}"/>
                </a:ext>
              </a:extLst>
            </xdr:cNvPr>
            <xdr:cNvCxnSpPr/>
          </xdr:nvCxnSpPr>
          <xdr:spPr bwMode="auto">
            <a:xfrm>
              <a:off x="0" y="72390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7" name="57 Conector recto">
              <a:extLst>
                <a:ext uri="{FF2B5EF4-FFF2-40B4-BE49-F238E27FC236}">
                  <a16:creationId xmlns:a16="http://schemas.microsoft.com/office/drawing/2014/main" id="{ADF4ED7C-AB67-C604-F8BF-E84FA5526AE6}"/>
                </a:ext>
              </a:extLst>
            </xdr:cNvPr>
            <xdr:cNvCxnSpPr/>
          </xdr:nvCxnSpPr>
          <xdr:spPr bwMode="auto">
            <a:xfrm>
              <a:off x="0" y="9048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8" name="58 Conector recto">
              <a:extLst>
                <a:ext uri="{FF2B5EF4-FFF2-40B4-BE49-F238E27FC236}">
                  <a16:creationId xmlns:a16="http://schemas.microsoft.com/office/drawing/2014/main" id="{0BFC702E-E9F7-0970-F85F-D5D9A7F151F6}"/>
                </a:ext>
              </a:extLst>
            </xdr:cNvPr>
            <xdr:cNvCxnSpPr/>
          </xdr:nvCxnSpPr>
          <xdr:spPr bwMode="auto">
            <a:xfrm>
              <a:off x="0" y="361950"/>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19" name="59 Conector recto">
              <a:extLst>
                <a:ext uri="{FF2B5EF4-FFF2-40B4-BE49-F238E27FC236}">
                  <a16:creationId xmlns:a16="http://schemas.microsoft.com/office/drawing/2014/main" id="{1578ADAE-5C53-B321-54E9-0A701E87A9F9}"/>
                </a:ext>
              </a:extLst>
            </xdr:cNvPr>
            <xdr:cNvCxnSpPr/>
          </xdr:nvCxnSpPr>
          <xdr:spPr bwMode="auto">
            <a:xfrm>
              <a:off x="0" y="54292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cxnSp macro="">
          <xdr:nvCxnSpPr>
            <xdr:cNvPr id="120" name="60 Conector recto">
              <a:extLst>
                <a:ext uri="{FF2B5EF4-FFF2-40B4-BE49-F238E27FC236}">
                  <a16:creationId xmlns:a16="http://schemas.microsoft.com/office/drawing/2014/main" id="{119712A1-0F7F-6DA0-DCA5-DD37AAE13283}"/>
                </a:ext>
              </a:extLst>
            </xdr:cNvPr>
            <xdr:cNvCxnSpPr/>
          </xdr:nvCxnSpPr>
          <xdr:spPr bwMode="auto">
            <a:xfrm>
              <a:off x="0" y="180975"/>
              <a:ext cx="6165309" cy="0"/>
            </a:xfrm>
            <a:prstGeom prst="line">
              <a:avLst/>
            </a:prstGeom>
            <a:solidFill>
              <a:srgbClr val="C0C0C0"/>
            </a:solidFill>
            <a:ln w="3175" cap="flat" cmpd="sng" algn="ctr">
              <a:solidFill>
                <a:schemeClr val="bg1">
                  <a:lumMod val="65000"/>
                </a:schemeClr>
              </a:solidFill>
              <a:prstDash val="sysDash"/>
              <a:round/>
              <a:headEnd type="none" w="med" len="med"/>
              <a:tailEnd type="none" w="med" len="med"/>
            </a:ln>
            <a:effectLst/>
          </xdr:spPr>
        </xdr:cxnSp>
      </xdr:grpSp>
      <xdr:sp macro="" textlink="">
        <xdr:nvSpPr>
          <xdr:cNvPr id="66" name="9 Rectángulo">
            <a:extLst>
              <a:ext uri="{FF2B5EF4-FFF2-40B4-BE49-F238E27FC236}">
                <a16:creationId xmlns:a16="http://schemas.microsoft.com/office/drawing/2014/main" id="{49FB66C2-AA95-18C2-9AC8-877984AF1F01}"/>
              </a:ext>
            </a:extLst>
          </xdr:cNvPr>
          <xdr:cNvSpPr/>
        </xdr:nvSpPr>
        <xdr:spPr bwMode="auto">
          <a:xfrm>
            <a:off x="3066431" y="0"/>
            <a:ext cx="2792210" cy="8924608"/>
          </a:xfrm>
          <a:prstGeom prst="rect">
            <a:avLst/>
          </a:prstGeom>
          <a:noFill/>
          <a:ln w="3175" cap="flat" cmpd="sng" algn="ctr">
            <a:solidFill>
              <a:srgbClr val="0070C0"/>
            </a:solidFill>
            <a:prstDash val="sysDash"/>
            <a:miter lim="800000"/>
            <a:headEnd type="none" w="med" len="med"/>
            <a:tailEnd type="none" w="med" len="med"/>
          </a:ln>
          <a:effectLst/>
        </xdr:spPr>
        <xdr:txBody>
          <a:bodyPr vertOverflow="clip" wrap="none" lIns="0" tIns="0" rIns="0" bIns="0" rtlCol="0" anchor="t" anchorCtr="0" upright="1"/>
          <a:lstStyle/>
          <a:p>
            <a:pPr algn="ctr"/>
            <a:endParaRPr lang="en-US" sz="1100"/>
          </a:p>
        </xdr:txBody>
      </xdr:sp>
      <xdr:sp macro="" textlink="">
        <xdr:nvSpPr>
          <xdr:cNvPr id="70" name="10 Rectángulo">
            <a:extLst>
              <a:ext uri="{FF2B5EF4-FFF2-40B4-BE49-F238E27FC236}">
                <a16:creationId xmlns:a16="http://schemas.microsoft.com/office/drawing/2014/main" id="{C4D10485-08D9-E7C7-BEF4-A23E6F4397FA}"/>
              </a:ext>
            </a:extLst>
          </xdr:cNvPr>
          <xdr:cNvSpPr/>
        </xdr:nvSpPr>
        <xdr:spPr bwMode="auto">
          <a:xfrm>
            <a:off x="2975198" y="0"/>
            <a:ext cx="2975197" cy="8925636"/>
          </a:xfrm>
          <a:prstGeom prst="rect">
            <a:avLst/>
          </a:prstGeom>
          <a:noFill/>
          <a:ln w="3175" cap="flat" cmpd="sng" algn="ctr">
            <a:solidFill>
              <a:srgbClr val="FF0000"/>
            </a:solidFill>
            <a:prstDash val="solid"/>
            <a:miter lim="800000"/>
            <a:headEnd type="none" w="med" len="med"/>
            <a:tailEnd type="none" w="med" len="med"/>
          </a:ln>
          <a:effectLst/>
        </xdr:spPr>
        <xdr:txBody>
          <a:bodyPr vertOverflow="clip" wrap="none" lIns="0" tIns="0" rIns="0" bIns="0" rtlCol="0" anchor="t" anchorCtr="0" upright="1"/>
          <a:lstStyle/>
          <a:p>
            <a:pPr algn="ctr"/>
            <a:endParaRPr lang="en-US" sz="1100"/>
          </a:p>
        </xdr:txBody>
      </xdr:sp>
    </xdr:grpSp>
    <xdr:clientData fPrintsWithSheet="0"/>
  </xdr:twoCellAnchor>
  <xdr:twoCellAnchor>
    <xdr:from>
      <xdr:col>15</xdr:col>
      <xdr:colOff>46463</xdr:colOff>
      <xdr:row>6</xdr:row>
      <xdr:rowOff>18588</xdr:rowOff>
    </xdr:from>
    <xdr:to>
      <xdr:col>16</xdr:col>
      <xdr:colOff>246255</xdr:colOff>
      <xdr:row>16</xdr:row>
      <xdr:rowOff>106680</xdr:rowOff>
    </xdr:to>
    <xdr:sp macro="" textlink="">
      <xdr:nvSpPr>
        <xdr:cNvPr id="3" name="Rectángulo 2">
          <a:extLst>
            <a:ext uri="{FF2B5EF4-FFF2-40B4-BE49-F238E27FC236}">
              <a16:creationId xmlns:a16="http://schemas.microsoft.com/office/drawing/2014/main" id="{3169D96A-E39F-EAFE-DF4A-B8117452D540}"/>
            </a:ext>
          </a:extLst>
        </xdr:cNvPr>
        <xdr:cNvSpPr/>
      </xdr:nvSpPr>
      <xdr:spPr>
        <a:xfrm>
          <a:off x="5990063" y="1115868"/>
          <a:ext cx="592222" cy="153589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6</xdr:col>
      <xdr:colOff>238435</xdr:colOff>
      <xdr:row>6</xdr:row>
      <xdr:rowOff>13939</xdr:rowOff>
    </xdr:from>
    <xdr:to>
      <xdr:col>8</xdr:col>
      <xdr:colOff>49639</xdr:colOff>
      <xdr:row>16</xdr:row>
      <xdr:rowOff>111512</xdr:rowOff>
    </xdr:to>
    <xdr:sp macro="" textlink="">
      <xdr:nvSpPr>
        <xdr:cNvPr id="2" name="Rectángulo 1">
          <a:extLst>
            <a:ext uri="{FF2B5EF4-FFF2-40B4-BE49-F238E27FC236}">
              <a16:creationId xmlns:a16="http://schemas.microsoft.com/office/drawing/2014/main" id="{9F9AF71F-DAC4-850A-F3D1-30255FCB146B}"/>
            </a:ext>
          </a:extLst>
        </xdr:cNvPr>
        <xdr:cNvSpPr/>
      </xdr:nvSpPr>
      <xdr:spPr>
        <a:xfrm>
          <a:off x="2580191" y="1105829"/>
          <a:ext cx="591789" cy="153793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absolute">
    <xdr:from>
      <xdr:col>0</xdr:col>
      <xdr:colOff>0</xdr:colOff>
      <xdr:row>3</xdr:row>
      <xdr:rowOff>161385</xdr:rowOff>
    </xdr:from>
    <xdr:to>
      <xdr:col>7</xdr:col>
      <xdr:colOff>354735</xdr:colOff>
      <xdr:row>5</xdr:row>
      <xdr:rowOff>20053</xdr:rowOff>
    </xdr:to>
    <xdr:sp macro="" textlink="">
      <xdr:nvSpPr>
        <xdr:cNvPr id="121" name="Rectangle 121">
          <a:extLst>
            <a:ext uri="{FF2B5EF4-FFF2-40B4-BE49-F238E27FC236}">
              <a16:creationId xmlns:a16="http://schemas.microsoft.com/office/drawing/2014/main" id="{5D1E9E20-0B19-4984-BE68-50A85C18322E}"/>
            </a:ext>
          </a:extLst>
        </xdr:cNvPr>
        <xdr:cNvSpPr>
          <a:spLocks noChangeArrowheads="1"/>
        </xdr:cNvSpPr>
      </xdr:nvSpPr>
      <xdr:spPr bwMode="auto">
        <a:xfrm>
          <a:off x="0" y="597530"/>
          <a:ext cx="3091919" cy="375023"/>
        </a:xfrm>
        <a:prstGeom prst="rect">
          <a:avLst/>
        </a:prstGeom>
        <a:noFill/>
        <a:ln w="6350">
          <a:noFill/>
          <a:prstDash val="sysDot"/>
          <a:miter lim="800000"/>
          <a:headEnd/>
          <a:tailEnd/>
        </a:ln>
      </xdr:spPr>
      <xdr:txBody>
        <a:bodyPr vertOverflow="clip" wrap="square" lIns="0" tIns="75600" rIns="0" bIns="0" anchor="t" upright="1"/>
        <a:lstStyle/>
        <a:p>
          <a:pPr algn="l" rtl="0">
            <a:defRPr sz="1000"/>
          </a:pPr>
          <a:r>
            <a:rPr lang="en-US" sz="800" b="0" i="0" strike="noStrike">
              <a:solidFill>
                <a:sysClr val="windowText" lastClr="000000"/>
              </a:solidFill>
              <a:latin typeface="Roboto" panose="02000000000000000000" pitchFamily="2" charset="0"/>
              <a:ea typeface="Roboto" panose="02000000000000000000" pitchFamily="2" charset="0"/>
            </a:rPr>
            <a:t>2.a  Efecto estimado del programa Kit Digital sobre la PTF</a:t>
          </a:r>
        </a:p>
      </xdr:txBody>
    </xdr:sp>
    <xdr:clientData/>
  </xdr:twoCellAnchor>
  <xdr:twoCellAnchor>
    <xdr:from>
      <xdr:col>0</xdr:col>
      <xdr:colOff>0</xdr:colOff>
      <xdr:row>0</xdr:row>
      <xdr:rowOff>0</xdr:rowOff>
    </xdr:from>
    <xdr:to>
      <xdr:col>2</xdr:col>
      <xdr:colOff>87810</xdr:colOff>
      <xdr:row>2</xdr:row>
      <xdr:rowOff>75660</xdr:rowOff>
    </xdr:to>
    <xdr:sp macro="" textlink="">
      <xdr:nvSpPr>
        <xdr:cNvPr id="122" name="Rectángulo 121">
          <a:extLst>
            <a:ext uri="{FF2B5EF4-FFF2-40B4-BE49-F238E27FC236}">
              <a16:creationId xmlns:a16="http://schemas.microsoft.com/office/drawing/2014/main" id="{0033FF71-B8EB-4E7F-9314-B131878A4AAA}"/>
            </a:ext>
          </a:extLst>
        </xdr:cNvPr>
        <xdr:cNvSpPr/>
      </xdr:nvSpPr>
      <xdr:spPr>
        <a:xfrm>
          <a:off x="0" y="0"/>
          <a:ext cx="867128" cy="361410"/>
        </a:xfrm>
        <a:prstGeom prst="rect">
          <a:avLst/>
        </a:prstGeom>
        <a:noFill/>
        <a:ln w="1270">
          <a:noFill/>
          <a:prstDash val="sysDot"/>
          <a:miter lim="800000"/>
          <a:headEnd/>
          <a:tailEnd/>
        </a:ln>
      </xdr:spPr>
      <xdr:txBody>
        <a:bodyPr vertOverflow="clip" wrap="square" lIns="0" tIns="82800" rIns="0" bIns="0" anchor="t" upright="1"/>
        <a:lstStyle/>
        <a:p>
          <a:pPr marL="0" indent="0" algn="l"/>
          <a:r>
            <a:rPr lang="es-ES" sz="800">
              <a:solidFill>
                <a:schemeClr val="tx1"/>
              </a:solidFill>
              <a:latin typeface="Roboto" panose="02000000000000000000" pitchFamily="2" charset="0"/>
              <a:ea typeface="Roboto" panose="02000000000000000000" pitchFamily="2" charset="0"/>
              <a:cs typeface="+mn-cs"/>
            </a:rPr>
            <a:t>Recuadro 3.4</a:t>
          </a:r>
        </a:p>
      </xdr:txBody>
    </xdr:sp>
    <xdr:clientData/>
  </xdr:twoCellAnchor>
  <xdr:twoCellAnchor>
    <xdr:from>
      <xdr:col>0</xdr:col>
      <xdr:colOff>0</xdr:colOff>
      <xdr:row>0</xdr:row>
      <xdr:rowOff>107020</xdr:rowOff>
    </xdr:from>
    <xdr:to>
      <xdr:col>16</xdr:col>
      <xdr:colOff>158811</xdr:colOff>
      <xdr:row>3</xdr:row>
      <xdr:rowOff>37298</xdr:rowOff>
    </xdr:to>
    <xdr:sp macro="" textlink="">
      <xdr:nvSpPr>
        <xdr:cNvPr id="123" name="Rectángulo 122">
          <a:extLst>
            <a:ext uri="{FF2B5EF4-FFF2-40B4-BE49-F238E27FC236}">
              <a16:creationId xmlns:a16="http://schemas.microsoft.com/office/drawing/2014/main" id="{4150BE0B-9852-4682-A732-706633B82A53}"/>
            </a:ext>
          </a:extLst>
        </xdr:cNvPr>
        <xdr:cNvSpPr/>
      </xdr:nvSpPr>
      <xdr:spPr>
        <a:xfrm>
          <a:off x="0" y="107020"/>
          <a:ext cx="6470377" cy="366423"/>
        </a:xfrm>
        <a:prstGeom prst="rect">
          <a:avLst/>
        </a:prstGeom>
        <a:noFill/>
        <a:ln w="6350">
          <a:noFill/>
          <a:prstDash val="sysDot"/>
          <a:miter lim="800000"/>
          <a:headEnd/>
          <a:tailEnd/>
        </a:ln>
      </xdr:spPr>
      <xdr:txBody>
        <a:bodyPr vertOverflow="clip" wrap="square" lIns="0" tIns="72000" rIns="0" bIns="0" anchor="t" upright="1"/>
        <a:lstStyle/>
        <a:p>
          <a:pPr marL="0" indent="0" algn="l"/>
          <a:r>
            <a:rPr lang="es-ES" sz="800">
              <a:solidFill>
                <a:schemeClr val="tx1"/>
              </a:solidFill>
              <a:latin typeface="Roboto Medium" panose="02000000000000000000" pitchFamily="2" charset="0"/>
              <a:ea typeface="Roboto Medium" panose="02000000000000000000" pitchFamily="2" charset="0"/>
              <a:cs typeface="+mn-cs"/>
            </a:rPr>
            <a:t>XXXxxxxxx</a:t>
          </a:r>
        </a:p>
      </xdr:txBody>
    </xdr:sp>
    <xdr:clientData/>
  </xdr:twoCellAnchor>
  <xdr:twoCellAnchor>
    <xdr:from>
      <xdr:col>8</xdr:col>
      <xdr:colOff>145141</xdr:colOff>
      <xdr:row>3</xdr:row>
      <xdr:rowOff>113095</xdr:rowOff>
    </xdr:from>
    <xdr:to>
      <xdr:col>17</xdr:col>
      <xdr:colOff>85309</xdr:colOff>
      <xdr:row>5</xdr:row>
      <xdr:rowOff>370</xdr:rowOff>
    </xdr:to>
    <xdr:sp macro="" textlink="">
      <xdr:nvSpPr>
        <xdr:cNvPr id="61" name="1 CuadroTexto">
          <a:extLst>
            <a:ext uri="{FF2B5EF4-FFF2-40B4-BE49-F238E27FC236}">
              <a16:creationId xmlns:a16="http://schemas.microsoft.com/office/drawing/2014/main" id="{C576C61B-3E18-4247-8B94-F509CB72F818}"/>
            </a:ext>
          </a:extLst>
        </xdr:cNvPr>
        <xdr:cNvSpPr txBox="1"/>
      </xdr:nvSpPr>
      <xdr:spPr>
        <a:xfrm>
          <a:off x="3273352" y="549240"/>
          <a:ext cx="3514549" cy="403630"/>
        </a:xfrm>
        <a:prstGeom prst="rect">
          <a:avLst/>
        </a:prstGeom>
        <a:noFill/>
      </xdr:spPr>
      <xdr:txBody>
        <a:bodyPr wrap="square" tIns="108000" rIns="0" bIns="0" rtlCol="0"/>
        <a:lstStyle/>
        <a:p>
          <a:r>
            <a:rPr lang="en-US" sz="800" b="0" i="0" u="none" strike="noStrike">
              <a:solidFill>
                <a:schemeClr val="tx1"/>
              </a:solidFill>
              <a:latin typeface="Roboto" panose="02000000000000000000" pitchFamily="2" charset="0"/>
              <a:ea typeface="Roboto" panose="02000000000000000000" pitchFamily="2" charset="0"/>
            </a:rPr>
            <a:t>2.b  Efecto</a:t>
          </a:r>
          <a:r>
            <a:rPr lang="en-US" sz="800" b="0" i="0" u="none" strike="noStrike" baseline="0">
              <a:solidFill>
                <a:schemeClr val="tx1"/>
              </a:solidFill>
              <a:latin typeface="Roboto" panose="02000000000000000000" pitchFamily="2" charset="0"/>
              <a:ea typeface="Roboto" panose="02000000000000000000" pitchFamily="2" charset="0"/>
            </a:rPr>
            <a:t> estimado sobre la proporción de activos intangibles</a:t>
          </a:r>
          <a:endParaRPr lang="en-US" sz="800" b="0" i="0" u="none" strike="noStrike">
            <a:solidFill>
              <a:schemeClr val="tx1"/>
            </a:solidFill>
            <a:latin typeface="Roboto" panose="02000000000000000000" pitchFamily="2" charset="0"/>
            <a:ea typeface="Roboto" panose="02000000000000000000" pitchFamily="2" charset="0"/>
          </a:endParaRPr>
        </a:p>
      </xdr:txBody>
    </xdr:sp>
    <xdr:clientData/>
  </xdr:twoCellAnchor>
  <xdr:twoCellAnchor>
    <xdr:from>
      <xdr:col>0</xdr:col>
      <xdr:colOff>0</xdr:colOff>
      <xdr:row>20</xdr:row>
      <xdr:rowOff>30588</xdr:rowOff>
    </xdr:from>
    <xdr:to>
      <xdr:col>15</xdr:col>
      <xdr:colOff>36596</xdr:colOff>
      <xdr:row>22</xdr:row>
      <xdr:rowOff>5954</xdr:rowOff>
    </xdr:to>
    <xdr:sp macro="" textlink="" fLocksText="0">
      <xdr:nvSpPr>
        <xdr:cNvPr id="67" name="Rectángulo 66">
          <a:extLst>
            <a:ext uri="{FF2B5EF4-FFF2-40B4-BE49-F238E27FC236}">
              <a16:creationId xmlns:a16="http://schemas.microsoft.com/office/drawing/2014/main" id="{D9E93DA1-E7E9-4945-970D-866696DC167A}"/>
            </a:ext>
          </a:extLst>
        </xdr:cNvPr>
        <xdr:cNvSpPr/>
      </xdr:nvSpPr>
      <xdr:spPr>
        <a:xfrm>
          <a:off x="0" y="2888088"/>
          <a:ext cx="5632534" cy="237304"/>
        </a:xfrm>
        <a:prstGeom prst="rect">
          <a:avLst/>
        </a:prstGeom>
        <a:noFill/>
        <a:ln w="5080">
          <a:noFill/>
          <a:miter lim="800000"/>
          <a:headEnd/>
          <a:tailEnd/>
        </a:ln>
        <a:effectLst/>
      </xdr:spPr>
      <xdr:txBody>
        <a:bodyPr vertOverflow="clip" wrap="square" lIns="0" tIns="93600" rIns="0" bIns="0" anchor="t" upright="1"/>
        <a:lstStyle/>
        <a:p>
          <a:pPr marL="0" indent="0" algn="l" rtl="0">
            <a:defRPr sz="1000"/>
          </a:pPr>
          <a:r>
            <a:rPr lang="es-ES" sz="700" b="0" i="0" u="none" strike="noStrike">
              <a:solidFill>
                <a:schemeClr val="tx1"/>
              </a:solidFill>
              <a:latin typeface="Roboto Medium" panose="02000000000000000000" pitchFamily="2" charset="0"/>
              <a:ea typeface="Roboto Medium" panose="02000000000000000000" pitchFamily="2" charset="0"/>
              <a:cs typeface="Arial"/>
            </a:rPr>
            <a:t>FUENTE: </a:t>
          </a:r>
          <a:r>
            <a:rPr lang="es-ES" sz="700" b="0" i="0" u="none" strike="noStrike">
              <a:solidFill>
                <a:schemeClr val="tx1"/>
              </a:solidFill>
              <a:latin typeface="Roboto Light" panose="02000000000000000000" pitchFamily="2" charset="0"/>
              <a:ea typeface="Roboto Light" panose="02000000000000000000" pitchFamily="2" charset="0"/>
              <a:cs typeface="Arial"/>
            </a:rPr>
            <a:t>Banco de España (CBI) y Red.es. </a:t>
          </a:r>
        </a:p>
      </xdr:txBody>
    </xdr:sp>
    <xdr:clientData fLocksWithSheet="0"/>
  </xdr:twoCellAnchor>
  <xdr:twoCellAnchor>
    <xdr:from>
      <xdr:col>0</xdr:col>
      <xdr:colOff>0</xdr:colOff>
      <xdr:row>4</xdr:row>
      <xdr:rowOff>6350</xdr:rowOff>
    </xdr:from>
    <xdr:to>
      <xdr:col>8</xdr:col>
      <xdr:colOff>160830</xdr:colOff>
      <xdr:row>20</xdr:row>
      <xdr:rowOff>37835</xdr:rowOff>
    </xdr:to>
    <xdr:graphicFrame macro="">
      <xdr:nvGraphicFramePr>
        <xdr:cNvPr id="68" name="Gráfico 67">
          <a:extLst>
            <a:ext uri="{FF2B5EF4-FFF2-40B4-BE49-F238E27FC236}">
              <a16:creationId xmlns:a16="http://schemas.microsoft.com/office/drawing/2014/main" id="{91695121-6F87-434D-85BE-F1A8A8A38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217090</xdr:colOff>
      <xdr:row>3</xdr:row>
      <xdr:rowOff>313683</xdr:rowOff>
    </xdr:from>
    <xdr:to>
      <xdr:col>16</xdr:col>
      <xdr:colOff>357768</xdr:colOff>
      <xdr:row>19</xdr:row>
      <xdr:rowOff>64107</xdr:rowOff>
    </xdr:to>
    <xdr:graphicFrame macro="">
      <xdr:nvGraphicFramePr>
        <xdr:cNvPr id="69" name="Gráfico 68">
          <a:extLst>
            <a:ext uri="{FF2B5EF4-FFF2-40B4-BE49-F238E27FC236}">
              <a16:creationId xmlns:a16="http://schemas.microsoft.com/office/drawing/2014/main" id="{CD1FC396-5F80-433D-B085-BB6050B3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1</xdr:row>
      <xdr:rowOff>106613</xdr:rowOff>
    </xdr:from>
    <xdr:to>
      <xdr:col>17</xdr:col>
      <xdr:colOff>277562</xdr:colOff>
      <xdr:row>3</xdr:row>
      <xdr:rowOff>175460</xdr:rowOff>
    </xdr:to>
    <xdr:sp macro="" textlink="">
      <xdr:nvSpPr>
        <xdr:cNvPr id="4" name="Rectangle 121">
          <a:extLst>
            <a:ext uri="{FF2B5EF4-FFF2-40B4-BE49-F238E27FC236}">
              <a16:creationId xmlns:a16="http://schemas.microsoft.com/office/drawing/2014/main" id="{6032147E-D662-4E6F-98E3-6B26D65D316A}"/>
            </a:ext>
          </a:extLst>
        </xdr:cNvPr>
        <xdr:cNvSpPr>
          <a:spLocks noChangeArrowheads="1"/>
        </xdr:cNvSpPr>
      </xdr:nvSpPr>
      <xdr:spPr bwMode="auto">
        <a:xfrm>
          <a:off x="0" y="251995"/>
          <a:ext cx="6980154" cy="359610"/>
        </a:xfrm>
        <a:prstGeom prst="rect">
          <a:avLst/>
        </a:prstGeom>
        <a:noFill/>
        <a:ln w="6350">
          <a:noFill/>
          <a:prstDash val="sysDot"/>
          <a:miter lim="800000"/>
          <a:headEnd/>
          <a:tailEnd/>
        </a:ln>
      </xdr:spPr>
      <xdr:txBody>
        <a:bodyPr vertOverflow="clip" wrap="square" lIns="0" tIns="75600" rIns="0" bIns="0" anchor="t" upright="1"/>
        <a:lstStyle/>
        <a:p>
          <a:pPr algn="l" rtl="0">
            <a:defRPr sz="1000"/>
          </a:pPr>
          <a:r>
            <a:rPr lang="en-US" sz="800" b="0" i="0" strike="noStrike">
              <a:solidFill>
                <a:sysClr val="windowText" lastClr="000000"/>
              </a:solidFill>
              <a:latin typeface="Roboto" panose="02000000000000000000" pitchFamily="2" charset="0"/>
              <a:ea typeface="Roboto" panose="02000000000000000000" pitchFamily="2" charset="0"/>
            </a:rPr>
            <a:t>Gráfico 2</a:t>
          </a:r>
        </a:p>
        <a:p>
          <a:pPr algn="l" rtl="0">
            <a:defRPr sz="1000"/>
          </a:pPr>
          <a:r>
            <a:rPr lang="en-US" sz="800" b="0" i="0" strike="noStrike">
              <a:solidFill>
                <a:sysClr val="windowText" lastClr="000000"/>
              </a:solidFill>
              <a:latin typeface="Roboto" panose="02000000000000000000" pitchFamily="2" charset="0"/>
              <a:ea typeface="Roboto" panose="02000000000000000000" pitchFamily="2" charset="0"/>
            </a:rPr>
            <a:t>Efecto estimado del programa Kit Digital sobre las empresas beneficiarias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0.04501</cdr:x>
      <cdr:y>0.07162</cdr:y>
    </cdr:from>
    <cdr:to>
      <cdr:x>0.54449</cdr:x>
      <cdr:y>0.14919</cdr:y>
    </cdr:to>
    <cdr:sp macro="" textlink="">
      <cdr:nvSpPr>
        <cdr:cNvPr id="2" name="CuadroTexto 1">
          <a:extLst xmlns:a="http://schemas.openxmlformats.org/drawingml/2006/main">
            <a:ext uri="{FF2B5EF4-FFF2-40B4-BE49-F238E27FC236}">
              <a16:creationId xmlns:a16="http://schemas.microsoft.com/office/drawing/2014/main" id="{E4A11AC8-075C-8523-E5A1-8B48192681E4}"/>
            </a:ext>
          </a:extLst>
        </cdr:cNvPr>
        <cdr:cNvSpPr txBox="1"/>
      </cdr:nvSpPr>
      <cdr:spPr>
        <a:xfrm xmlns:a="http://schemas.openxmlformats.org/drawingml/2006/main">
          <a:off x="135849" y="149264"/>
          <a:ext cx="1507548" cy="161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s-ES" sz="700" b="0" i="0" baseline="0">
              <a:effectLst/>
              <a:latin typeface="Roboto" panose="02000000000000000000" pitchFamily="2" charset="0"/>
              <a:ea typeface="Roboto" panose="02000000000000000000" pitchFamily="2" charset="0"/>
              <a:cs typeface="+mn-cs"/>
            </a:rPr>
            <a:t>%</a:t>
          </a:r>
          <a:endParaRPr lang="es-ES_tradnl"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678656</xdr:colOff>
      <xdr:row>0</xdr:row>
      <xdr:rowOff>6509</xdr:rowOff>
    </xdr:from>
    <xdr:to>
      <xdr:col>6</xdr:col>
      <xdr:colOff>723899</xdr:colOff>
      <xdr:row>1</xdr:row>
      <xdr:rowOff>308372</xdr:rowOff>
    </xdr:to>
    <xdr:sp macro="" textlink="">
      <xdr:nvSpPr>
        <xdr:cNvPr id="2" name="Rectángulo 1">
          <a:extLst>
            <a:ext uri="{FF2B5EF4-FFF2-40B4-BE49-F238E27FC236}">
              <a16:creationId xmlns:a16="http://schemas.microsoft.com/office/drawing/2014/main" id="{597F7EEB-19ED-49A7-A7B7-B0CA4E76EFAC}"/>
            </a:ext>
          </a:extLst>
        </xdr:cNvPr>
        <xdr:cNvSpPr/>
      </xdr:nvSpPr>
      <xdr:spPr>
        <a:xfrm>
          <a:off x="678656" y="6509"/>
          <a:ext cx="5420915" cy="474504"/>
        </a:xfrm>
        <a:prstGeom prst="rect">
          <a:avLst/>
        </a:prstGeom>
        <a:solidFill>
          <a:srgbClr val="B3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oneCellAnchor>
    <xdr:from>
      <xdr:col>1</xdr:col>
      <xdr:colOff>1714500</xdr:colOff>
      <xdr:row>15</xdr:row>
      <xdr:rowOff>137062</xdr:rowOff>
    </xdr:from>
    <xdr:ext cx="694200" cy="693616"/>
    <xdr:sp macro="" textlink="" fLocksText="0">
      <xdr:nvSpPr>
        <xdr:cNvPr id="3" name="Rectangle 1030">
          <a:extLst>
            <a:ext uri="{FF2B5EF4-FFF2-40B4-BE49-F238E27FC236}">
              <a16:creationId xmlns:a16="http://schemas.microsoft.com/office/drawing/2014/main" id="{9F11806A-7F5D-4448-8CB8-7622716572A0}"/>
            </a:ext>
          </a:extLst>
        </xdr:cNvPr>
        <xdr:cNvSpPr>
          <a:spLocks noChangeArrowheads="1"/>
        </xdr:cNvSpPr>
      </xdr:nvSpPr>
      <xdr:spPr bwMode="auto">
        <a:xfrm>
          <a:off x="1397000" y="2892962"/>
          <a:ext cx="694200" cy="693616"/>
        </a:xfrm>
        <a:prstGeom prst="rect">
          <a:avLst/>
        </a:prstGeom>
        <a:noFill/>
        <a:ln w="5080">
          <a:noFill/>
          <a:miter lim="800000"/>
          <a:headEnd/>
          <a:tailEnd/>
        </a:ln>
        <a:effectLst/>
      </xdr:spPr>
      <xdr:txBody>
        <a:bodyPr vertOverflow="clip" wrap="square" lIns="0" tIns="93600" rIns="0" bIns="0" anchor="t" upright="1"/>
        <a:lstStyle/>
        <a:p>
          <a:pPr algn="l" rtl="0">
            <a:defRPr sz="1000"/>
          </a:pPr>
          <a:endParaRPr lang="en-US" sz="750" b="0" u="none" strike="noStrike" baseline="0">
            <a:solidFill>
              <a:sysClr val="windowText" lastClr="000000"/>
            </a:solidFill>
            <a:latin typeface="BdE Neue Helvetica 45 Light"/>
          </a:endParaRPr>
        </a:p>
      </xdr:txBody>
    </xdr:sp>
    <xdr:clientData fLocksWithSheet="0" fPrintsWithSheet="0"/>
  </xdr:oneCellAnchor>
  <xdr:absoluteAnchor>
    <xdr:pos x="417012" y="735632"/>
    <xdr:ext cx="0" cy="5083869"/>
    <xdr:sp macro="" textlink="">
      <xdr:nvSpPr>
        <xdr:cNvPr id="4" name="Line 1026">
          <a:extLst>
            <a:ext uri="{FF2B5EF4-FFF2-40B4-BE49-F238E27FC236}">
              <a16:creationId xmlns:a16="http://schemas.microsoft.com/office/drawing/2014/main" id="{F11129E7-0AC1-4852-B78D-2272321275B7}"/>
            </a:ext>
          </a:extLst>
        </xdr:cNvPr>
        <xdr:cNvSpPr>
          <a:spLocks noChangeShapeType="1"/>
        </xdr:cNvSpPr>
      </xdr:nvSpPr>
      <xdr:spPr bwMode="auto">
        <a:xfrm flipV="1">
          <a:off x="417012" y="735632"/>
          <a:ext cx="0" cy="5083869"/>
        </a:xfrm>
        <a:prstGeom prst="line">
          <a:avLst/>
        </a:prstGeom>
        <a:noFill/>
        <a:ln w="9525">
          <a:noFill/>
          <a:round/>
          <a:headEnd/>
          <a:tailEnd/>
        </a:ln>
      </xdr:spPr>
    </xdr:sp>
    <xdr:clientData/>
  </xdr:absoluteAnchor>
  <xdr:oneCellAnchor>
    <xdr:from>
      <xdr:col>9</xdr:col>
      <xdr:colOff>194388</xdr:colOff>
      <xdr:row>22</xdr:row>
      <xdr:rowOff>78896</xdr:rowOff>
    </xdr:from>
    <xdr:ext cx="734827" cy="690444"/>
    <xdr:sp macro="" textlink="#REF!" fLocksText="0">
      <xdr:nvSpPr>
        <xdr:cNvPr id="5" name="Rectangle 1030">
          <a:extLst>
            <a:ext uri="{FF2B5EF4-FFF2-40B4-BE49-F238E27FC236}">
              <a16:creationId xmlns:a16="http://schemas.microsoft.com/office/drawing/2014/main" id="{51635070-6F4F-45FD-BFF7-93A36CA11A18}"/>
            </a:ext>
          </a:extLst>
        </xdr:cNvPr>
        <xdr:cNvSpPr>
          <a:spLocks noChangeArrowheads="1"/>
        </xdr:cNvSpPr>
      </xdr:nvSpPr>
      <xdr:spPr bwMode="auto">
        <a:xfrm>
          <a:off x="5083888" y="4212746"/>
          <a:ext cx="734827" cy="690444"/>
        </a:xfrm>
        <a:prstGeom prst="rect">
          <a:avLst/>
        </a:prstGeom>
        <a:noFill/>
        <a:ln w="5080">
          <a:noFill/>
          <a:miter lim="800000"/>
          <a:headEnd/>
          <a:tailEnd/>
        </a:ln>
        <a:effectLst/>
      </xdr:spPr>
      <xdr:txBody>
        <a:bodyPr vertOverflow="clip" wrap="square" lIns="0" tIns="93600" rIns="0" bIns="0" anchor="t" upright="1"/>
        <a:lstStyle/>
        <a:p>
          <a:pPr algn="l" rtl="0">
            <a:defRPr sz="1000"/>
          </a:pPr>
          <a:fld id="{605D47DC-C850-424E-A924-5B1DF397B994}" type="TxLink">
            <a:rPr lang="en-US" sz="700" b="0" i="0" u="none" strike="noStrike" baseline="0">
              <a:solidFill>
                <a:sysClr val="windowText" lastClr="000000"/>
              </a:solidFill>
              <a:latin typeface="BdE Neue Helvetica 45 Light"/>
            </a:rPr>
            <a:pPr algn="l" rtl="0">
              <a:defRPr sz="1000"/>
            </a:pPr>
            <a:t> </a:t>
          </a:fld>
          <a:endParaRPr lang="en-US" sz="700" b="0" i="1" u="none" strike="noStrike" baseline="0">
            <a:solidFill>
              <a:sysClr val="windowText" lastClr="000000"/>
            </a:solidFill>
            <a:latin typeface="BdE Neue Helvetica 45 Light"/>
            <a:ea typeface="+mn-ea"/>
            <a:cs typeface="+mn-cs"/>
          </a:endParaRPr>
        </a:p>
      </xdr:txBody>
    </xdr:sp>
    <xdr:clientData fLocksWithSheet="0" fPrintsWithSheet="0"/>
  </xdr:oneCellAnchor>
  <xdr:twoCellAnchor>
    <xdr:from>
      <xdr:col>1</xdr:col>
      <xdr:colOff>0</xdr:colOff>
      <xdr:row>0</xdr:row>
      <xdr:rowOff>0</xdr:rowOff>
    </xdr:from>
    <xdr:to>
      <xdr:col>1</xdr:col>
      <xdr:colOff>1027335</xdr:colOff>
      <xdr:row>1</xdr:row>
      <xdr:rowOff>85232</xdr:rowOff>
    </xdr:to>
    <xdr:sp macro="" textlink="">
      <xdr:nvSpPr>
        <xdr:cNvPr id="6" name="Rectángulo 5">
          <a:extLst>
            <a:ext uri="{FF2B5EF4-FFF2-40B4-BE49-F238E27FC236}">
              <a16:creationId xmlns:a16="http://schemas.microsoft.com/office/drawing/2014/main" id="{ED28B02B-85DE-4601-B144-3BE8EECDBA2D}"/>
            </a:ext>
          </a:extLst>
        </xdr:cNvPr>
        <xdr:cNvSpPr/>
      </xdr:nvSpPr>
      <xdr:spPr>
        <a:xfrm>
          <a:off x="698500" y="0"/>
          <a:ext cx="697135" cy="282082"/>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700" b="0" i="0" u="none" strike="noStrike">
              <a:solidFill>
                <a:schemeClr val="tx1"/>
              </a:solidFill>
              <a:latin typeface="Roboto" panose="02000000000000000000" pitchFamily="2" charset="0"/>
              <a:ea typeface="Roboto" panose="02000000000000000000" pitchFamily="2" charset="0"/>
              <a:cs typeface="+mn-cs"/>
            </a:rPr>
            <a:t>Cuadro 1</a:t>
          </a:r>
        </a:p>
      </xdr:txBody>
    </xdr:sp>
    <xdr:clientData/>
  </xdr:twoCellAnchor>
  <xdr:twoCellAnchor>
    <xdr:from>
      <xdr:col>1</xdr:col>
      <xdr:colOff>0</xdr:colOff>
      <xdr:row>1</xdr:row>
      <xdr:rowOff>26963</xdr:rowOff>
    </xdr:from>
    <xdr:to>
      <xdr:col>7</xdr:col>
      <xdr:colOff>0</xdr:colOff>
      <xdr:row>1</xdr:row>
      <xdr:rowOff>239862</xdr:rowOff>
    </xdr:to>
    <xdr:sp macro="" textlink="">
      <xdr:nvSpPr>
        <xdr:cNvPr id="7" name="Rectángulo 6">
          <a:extLst>
            <a:ext uri="{FF2B5EF4-FFF2-40B4-BE49-F238E27FC236}">
              <a16:creationId xmlns:a16="http://schemas.microsoft.com/office/drawing/2014/main" id="{D731B76D-415E-42C6-B634-05CAEA845FC6}"/>
            </a:ext>
          </a:extLst>
        </xdr:cNvPr>
        <xdr:cNvSpPr/>
      </xdr:nvSpPr>
      <xdr:spPr>
        <a:xfrm>
          <a:off x="698500" y="223813"/>
          <a:ext cx="2794000" cy="168449"/>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850" b="0" i="0" u="none" strike="noStrike">
              <a:solidFill>
                <a:schemeClr val="tx1"/>
              </a:solidFill>
              <a:latin typeface="Roboto Medium" panose="02000000000000000000" pitchFamily="2" charset="0"/>
              <a:ea typeface="Roboto Medium" panose="02000000000000000000" pitchFamily="2" charset="0"/>
              <a:cs typeface="+mn-cs"/>
            </a:rPr>
            <a:t>Balance de características observables en</a:t>
          </a:r>
          <a:r>
            <a:rPr lang="es-ES" sz="850" b="0" i="0" u="none" strike="noStrike" baseline="0">
              <a:solidFill>
                <a:schemeClr val="tx1"/>
              </a:solidFill>
              <a:latin typeface="Roboto Medium" panose="02000000000000000000" pitchFamily="2" charset="0"/>
              <a:ea typeface="Roboto Medium" panose="02000000000000000000" pitchFamily="2" charset="0"/>
              <a:cs typeface="+mn-cs"/>
            </a:rPr>
            <a:t> 2021 (a)</a:t>
          </a:r>
          <a:endParaRPr lang="es-ES" sz="850" b="0" i="0" u="none" strike="noStrike">
            <a:solidFill>
              <a:schemeClr val="tx1"/>
            </a:solidFill>
            <a:latin typeface="Roboto Medium" panose="02000000000000000000" pitchFamily="2" charset="0"/>
            <a:ea typeface="Roboto Medium" panose="02000000000000000000" pitchFamily="2" charset="0"/>
            <a:cs typeface="+mn-cs"/>
          </a:endParaRPr>
        </a:p>
      </xdr:txBody>
    </xdr:sp>
    <xdr:clientData/>
  </xdr:twoCellAnchor>
  <xdr:twoCellAnchor>
    <xdr:from>
      <xdr:col>1</xdr:col>
      <xdr:colOff>33960</xdr:colOff>
      <xdr:row>11</xdr:row>
      <xdr:rowOff>35631</xdr:rowOff>
    </xdr:from>
    <xdr:to>
      <xdr:col>7</xdr:col>
      <xdr:colOff>40310</xdr:colOff>
      <xdr:row>15</xdr:row>
      <xdr:rowOff>116261</xdr:rowOff>
    </xdr:to>
    <xdr:sp macro="" textlink="" fLocksText="0">
      <xdr:nvSpPr>
        <xdr:cNvPr id="8" name="Rectángulo 7">
          <a:extLst>
            <a:ext uri="{FF2B5EF4-FFF2-40B4-BE49-F238E27FC236}">
              <a16:creationId xmlns:a16="http://schemas.microsoft.com/office/drawing/2014/main" id="{F15D1F79-DE74-467B-84AC-9D8F14AA367C}"/>
            </a:ext>
          </a:extLst>
        </xdr:cNvPr>
        <xdr:cNvSpPr/>
      </xdr:nvSpPr>
      <xdr:spPr>
        <a:xfrm>
          <a:off x="732460" y="2274006"/>
          <a:ext cx="5427663" cy="795005"/>
        </a:xfrm>
        <a:prstGeom prst="rect">
          <a:avLst/>
        </a:prstGeom>
        <a:noFill/>
        <a:ln w="5080">
          <a:noFill/>
          <a:miter lim="800000"/>
          <a:headEnd/>
          <a:tailEnd/>
        </a:ln>
        <a:effectLst/>
      </xdr:spPr>
      <xdr:txBody>
        <a:bodyPr vertOverflow="clip" wrap="square" lIns="0" tIns="93600" rIns="0" bIns="0" anchor="t" upright="1"/>
        <a:lstStyle/>
        <a:p>
          <a:pPr marL="0" indent="0" algn="l" rtl="0">
            <a:defRPr sz="1000"/>
          </a:pPr>
          <a:r>
            <a:rPr lang="es-ES" sz="700" b="0" i="0" u="none" strike="noStrike">
              <a:solidFill>
                <a:schemeClr val="tx1"/>
              </a:solidFill>
              <a:latin typeface="Roboto Medium" panose="02000000000000000000" pitchFamily="2" charset="0"/>
              <a:ea typeface="Roboto Medium" panose="02000000000000000000" pitchFamily="2" charset="0"/>
              <a:cs typeface="Arial"/>
            </a:rPr>
            <a:t>FUENTE: </a:t>
          </a:r>
          <a:r>
            <a:rPr lang="es-ES" sz="700" b="0" i="0" u="none" strike="noStrike">
              <a:solidFill>
                <a:schemeClr val="tx1"/>
              </a:solidFill>
              <a:latin typeface="Roboto Light" panose="02000000000000000000" pitchFamily="2" charset="0"/>
              <a:ea typeface="Roboto Light" panose="02000000000000000000" pitchFamily="2" charset="0"/>
              <a:cs typeface="Arial"/>
            </a:rPr>
            <a:t>Banco de España (CBI) y Red.es. </a:t>
          </a:r>
        </a:p>
        <a:p>
          <a:pPr marL="0" indent="0" algn="l" rtl="0">
            <a:defRPr sz="1000"/>
          </a:pPr>
          <a:r>
            <a:rPr lang="es-ES_tradnl" sz="700" b="0" i="0" u="none" strike="noStrike">
              <a:solidFill>
                <a:schemeClr val="tx1"/>
              </a:solidFill>
              <a:latin typeface="Roboto Medium" panose="02000000000000000000" pitchFamily="2" charset="0"/>
              <a:ea typeface="Roboto Medium" panose="02000000000000000000" pitchFamily="2" charset="0"/>
              <a:cs typeface="Arial"/>
            </a:rPr>
            <a:t>a.</a:t>
          </a:r>
          <a:r>
            <a:rPr lang="es-ES_tradnl" sz="1000" b="0" i="0">
              <a:effectLst/>
              <a:latin typeface="+mn-lt"/>
              <a:ea typeface="+mn-ea"/>
              <a:cs typeface="+mn-cs"/>
            </a:rPr>
            <a:t> </a:t>
          </a:r>
          <a:r>
            <a:rPr lang="es-ES_tradnl" sz="700" b="0" i="0" u="none" strike="noStrike">
              <a:solidFill>
                <a:schemeClr val="tx1"/>
              </a:solidFill>
              <a:latin typeface="Roboto Light" panose="02000000000000000000" pitchFamily="2" charset="0"/>
              <a:ea typeface="Roboto Light" panose="02000000000000000000" pitchFamily="2" charset="0"/>
              <a:cs typeface="Arial"/>
            </a:rPr>
            <a:t>El cuadro muestra medias de covariables observables medidas en 2021, antes del tratamiento. Las columnas “sin ponderar” reportan medias del grupo de control sin pesos, mientras que las columnas “tras ponderadar” reportan medias del grupo de control reponderado mediante ponderaciones por probabilidad inversa del tratamiento. La diferencia se define como empresas tratadas menos empresas no tratadas.</a:t>
          </a:r>
        </a:p>
        <a:p>
          <a:pPr marL="0" indent="0" algn="l" rtl="0">
            <a:defRPr sz="1000"/>
          </a:pPr>
          <a:r>
            <a:rPr lang="es-ES" sz="700" b="0" i="0" u="none" strike="noStrike">
              <a:solidFill>
                <a:schemeClr val="tx1"/>
              </a:solidFill>
              <a:latin typeface="Roboto Light" panose="02000000000000000000" pitchFamily="2" charset="0"/>
              <a:ea typeface="Roboto Light" panose="02000000000000000000" pitchFamily="2" charset="0"/>
              <a:cs typeface="Arial"/>
            </a:rPr>
            <a:t> </a:t>
          </a:r>
        </a:p>
      </xdr:txBody>
    </xdr:sp>
    <xdr:clientData fLocksWithSheet="0"/>
  </xdr:twoCellAnchor>
  <xdr:twoCellAnchor>
    <xdr:from>
      <xdr:col>1</xdr:col>
      <xdr:colOff>0</xdr:colOff>
      <xdr:row>1</xdr:row>
      <xdr:rowOff>404813</xdr:rowOff>
    </xdr:from>
    <xdr:to>
      <xdr:col>1</xdr:col>
      <xdr:colOff>1435652</xdr:colOff>
      <xdr:row>2</xdr:row>
      <xdr:rowOff>0</xdr:rowOff>
    </xdr:to>
    <xdr:sp macro="" textlink="">
      <xdr:nvSpPr>
        <xdr:cNvPr id="9" name="CuadroTexto 8">
          <a:extLst>
            <a:ext uri="{FF2B5EF4-FFF2-40B4-BE49-F238E27FC236}">
              <a16:creationId xmlns:a16="http://schemas.microsoft.com/office/drawing/2014/main" id="{574BDF79-4AC7-46B7-B10B-02A400F5AB30}"/>
            </a:ext>
          </a:extLst>
        </xdr:cNvPr>
        <xdr:cNvSpPr txBox="1"/>
      </xdr:nvSpPr>
      <xdr:spPr>
        <a:xfrm>
          <a:off x="701261" y="575987"/>
          <a:ext cx="1435652" cy="18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5200" rtlCol="0" anchor="t"/>
        <a:lstStyle/>
        <a:p>
          <a:r>
            <a:rPr lang="es-ES" sz="600">
              <a:latin typeface="Roboto Light" panose="02000000000000000000" pitchFamily="2" charset="0"/>
              <a:ea typeface="Roboto Light" panose="02000000000000000000" pitchFamily="2" charset="0"/>
            </a:rPr>
            <a:t>Valor medio por empresa</a:t>
          </a:r>
        </a:p>
        <a:p>
          <a:endParaRPr lang="es-ES" sz="600">
            <a:latin typeface="Roboto Light" panose="02000000000000000000" pitchFamily="2" charset="0"/>
            <a:ea typeface="Roboto Light" panose="02000000000000000000" pitchFamily="2"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22087</xdr:colOff>
      <xdr:row>0</xdr:row>
      <xdr:rowOff>0</xdr:rowOff>
    </xdr:from>
    <xdr:to>
      <xdr:col>6</xdr:col>
      <xdr:colOff>538370</xdr:colOff>
      <xdr:row>1</xdr:row>
      <xdr:rowOff>301783</xdr:rowOff>
    </xdr:to>
    <xdr:sp macro="" textlink="">
      <xdr:nvSpPr>
        <xdr:cNvPr id="2" name="Rectángulo 1">
          <a:extLst>
            <a:ext uri="{FF2B5EF4-FFF2-40B4-BE49-F238E27FC236}">
              <a16:creationId xmlns:a16="http://schemas.microsoft.com/office/drawing/2014/main" id="{5260EEE5-36AA-4D05-AFDD-8E83ABCE025B}"/>
            </a:ext>
          </a:extLst>
        </xdr:cNvPr>
        <xdr:cNvSpPr/>
      </xdr:nvSpPr>
      <xdr:spPr>
        <a:xfrm>
          <a:off x="717826" y="0"/>
          <a:ext cx="4392544" cy="475718"/>
        </a:xfrm>
        <a:prstGeom prst="rect">
          <a:avLst/>
        </a:prstGeom>
        <a:solidFill>
          <a:srgbClr val="B3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oneCellAnchor>
    <xdr:from>
      <xdr:col>1</xdr:col>
      <xdr:colOff>1714500</xdr:colOff>
      <xdr:row>14</xdr:row>
      <xdr:rowOff>137062</xdr:rowOff>
    </xdr:from>
    <xdr:ext cx="695913" cy="681430"/>
    <xdr:sp macro="" textlink="" fLocksText="0">
      <xdr:nvSpPr>
        <xdr:cNvPr id="3" name="Rectangle 1030">
          <a:extLst>
            <a:ext uri="{FF2B5EF4-FFF2-40B4-BE49-F238E27FC236}">
              <a16:creationId xmlns:a16="http://schemas.microsoft.com/office/drawing/2014/main" id="{CFB7489E-2588-4AF0-B577-41F766E7FFE4}"/>
            </a:ext>
          </a:extLst>
        </xdr:cNvPr>
        <xdr:cNvSpPr>
          <a:spLocks noChangeArrowheads="1"/>
        </xdr:cNvSpPr>
      </xdr:nvSpPr>
      <xdr:spPr bwMode="auto">
        <a:xfrm>
          <a:off x="1397000" y="2892962"/>
          <a:ext cx="695913" cy="681430"/>
        </a:xfrm>
        <a:prstGeom prst="rect">
          <a:avLst/>
        </a:prstGeom>
        <a:noFill/>
        <a:ln w="5080">
          <a:noFill/>
          <a:miter lim="800000"/>
          <a:headEnd/>
          <a:tailEnd/>
        </a:ln>
        <a:effectLst/>
      </xdr:spPr>
      <xdr:txBody>
        <a:bodyPr vertOverflow="clip" wrap="square" lIns="0" tIns="93600" rIns="0" bIns="0" anchor="t" upright="1"/>
        <a:lstStyle/>
        <a:p>
          <a:pPr algn="l" rtl="0">
            <a:defRPr sz="1000"/>
          </a:pPr>
          <a:endParaRPr lang="en-US" sz="750" b="0" u="none" strike="noStrike" baseline="0">
            <a:solidFill>
              <a:sysClr val="windowText" lastClr="000000"/>
            </a:solidFill>
            <a:latin typeface="BdE Neue Helvetica 45 Light"/>
          </a:endParaRPr>
        </a:p>
      </xdr:txBody>
    </xdr:sp>
    <xdr:clientData fLocksWithSheet="0" fPrintsWithSheet="0"/>
  </xdr:oneCellAnchor>
  <xdr:absoluteAnchor>
    <xdr:pos x="417012" y="736013"/>
    <xdr:ext cx="0" cy="5011324"/>
    <xdr:sp macro="" textlink="">
      <xdr:nvSpPr>
        <xdr:cNvPr id="4" name="Line 1026">
          <a:extLst>
            <a:ext uri="{FF2B5EF4-FFF2-40B4-BE49-F238E27FC236}">
              <a16:creationId xmlns:a16="http://schemas.microsoft.com/office/drawing/2014/main" id="{B4D4E9E2-720F-480D-ACF6-314E7E6F2266}"/>
            </a:ext>
          </a:extLst>
        </xdr:cNvPr>
        <xdr:cNvSpPr>
          <a:spLocks noChangeShapeType="1"/>
        </xdr:cNvSpPr>
      </xdr:nvSpPr>
      <xdr:spPr bwMode="auto">
        <a:xfrm flipV="1">
          <a:off x="417012" y="736013"/>
          <a:ext cx="0" cy="5011324"/>
        </a:xfrm>
        <a:prstGeom prst="line">
          <a:avLst/>
        </a:prstGeom>
        <a:noFill/>
        <a:ln w="9525">
          <a:noFill/>
          <a:round/>
          <a:headEnd/>
          <a:tailEnd/>
        </a:ln>
      </xdr:spPr>
    </xdr:sp>
    <xdr:clientData/>
  </xdr:absoluteAnchor>
  <xdr:oneCellAnchor>
    <xdr:from>
      <xdr:col>7</xdr:col>
      <xdr:colOff>194388</xdr:colOff>
      <xdr:row>21</xdr:row>
      <xdr:rowOff>78896</xdr:rowOff>
    </xdr:from>
    <xdr:ext cx="735398" cy="678258"/>
    <xdr:sp macro="" textlink="#REF!" fLocksText="0">
      <xdr:nvSpPr>
        <xdr:cNvPr id="5" name="Rectangle 1030">
          <a:extLst>
            <a:ext uri="{FF2B5EF4-FFF2-40B4-BE49-F238E27FC236}">
              <a16:creationId xmlns:a16="http://schemas.microsoft.com/office/drawing/2014/main" id="{DC7FDFEC-E9BE-4B14-9402-C9BA036B4274}"/>
            </a:ext>
          </a:extLst>
        </xdr:cNvPr>
        <xdr:cNvSpPr>
          <a:spLocks noChangeArrowheads="1"/>
        </xdr:cNvSpPr>
      </xdr:nvSpPr>
      <xdr:spPr bwMode="auto">
        <a:xfrm>
          <a:off x="5083888" y="4212746"/>
          <a:ext cx="735398" cy="678258"/>
        </a:xfrm>
        <a:prstGeom prst="rect">
          <a:avLst/>
        </a:prstGeom>
        <a:noFill/>
        <a:ln w="5080">
          <a:noFill/>
          <a:miter lim="800000"/>
          <a:headEnd/>
          <a:tailEnd/>
        </a:ln>
        <a:effectLst/>
      </xdr:spPr>
      <xdr:txBody>
        <a:bodyPr vertOverflow="clip" wrap="square" lIns="0" tIns="93600" rIns="0" bIns="0" anchor="t" upright="1"/>
        <a:lstStyle/>
        <a:p>
          <a:pPr algn="l" rtl="0">
            <a:defRPr sz="1000"/>
          </a:pPr>
          <a:fld id="{605D47DC-C850-424E-A924-5B1DF397B994}" type="TxLink">
            <a:rPr lang="en-US" sz="700" b="0" i="0" u="none" strike="noStrike" baseline="0">
              <a:solidFill>
                <a:sysClr val="windowText" lastClr="000000"/>
              </a:solidFill>
              <a:latin typeface="BdE Neue Helvetica 45 Light"/>
            </a:rPr>
            <a:pPr algn="l" rtl="0">
              <a:defRPr sz="1000"/>
            </a:pPr>
            <a:t> </a:t>
          </a:fld>
          <a:endParaRPr lang="en-US" sz="700" b="0" i="1" u="none" strike="noStrike" baseline="0">
            <a:solidFill>
              <a:sysClr val="windowText" lastClr="000000"/>
            </a:solidFill>
            <a:latin typeface="BdE Neue Helvetica 45 Light"/>
            <a:ea typeface="+mn-ea"/>
            <a:cs typeface="+mn-cs"/>
          </a:endParaRPr>
        </a:p>
      </xdr:txBody>
    </xdr:sp>
    <xdr:clientData fLocksWithSheet="0" fPrintsWithSheet="0"/>
  </xdr:oneCellAnchor>
  <xdr:twoCellAnchor>
    <xdr:from>
      <xdr:col>1</xdr:col>
      <xdr:colOff>0</xdr:colOff>
      <xdr:row>0</xdr:row>
      <xdr:rowOff>0</xdr:rowOff>
    </xdr:from>
    <xdr:to>
      <xdr:col>1</xdr:col>
      <xdr:colOff>1027335</xdr:colOff>
      <xdr:row>1</xdr:row>
      <xdr:rowOff>85232</xdr:rowOff>
    </xdr:to>
    <xdr:sp macro="" textlink="">
      <xdr:nvSpPr>
        <xdr:cNvPr id="6" name="Rectángulo 5">
          <a:extLst>
            <a:ext uri="{FF2B5EF4-FFF2-40B4-BE49-F238E27FC236}">
              <a16:creationId xmlns:a16="http://schemas.microsoft.com/office/drawing/2014/main" id="{15D4B381-8471-4735-8796-D6D976B5DC47}"/>
            </a:ext>
          </a:extLst>
        </xdr:cNvPr>
        <xdr:cNvSpPr/>
      </xdr:nvSpPr>
      <xdr:spPr>
        <a:xfrm>
          <a:off x="698500" y="0"/>
          <a:ext cx="697135" cy="282082"/>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700" b="0" i="0" u="none" strike="noStrike">
              <a:solidFill>
                <a:schemeClr val="tx1"/>
              </a:solidFill>
              <a:latin typeface="Roboto" panose="02000000000000000000" pitchFamily="2" charset="0"/>
              <a:ea typeface="Roboto" panose="02000000000000000000" pitchFamily="2" charset="0"/>
              <a:cs typeface="+mn-cs"/>
            </a:rPr>
            <a:t>Cuadro 2</a:t>
          </a:r>
        </a:p>
      </xdr:txBody>
    </xdr:sp>
    <xdr:clientData/>
  </xdr:twoCellAnchor>
  <xdr:twoCellAnchor>
    <xdr:from>
      <xdr:col>1</xdr:col>
      <xdr:colOff>0</xdr:colOff>
      <xdr:row>1</xdr:row>
      <xdr:rowOff>26963</xdr:rowOff>
    </xdr:from>
    <xdr:to>
      <xdr:col>5</xdr:col>
      <xdr:colOff>0</xdr:colOff>
      <xdr:row>1</xdr:row>
      <xdr:rowOff>239862</xdr:rowOff>
    </xdr:to>
    <xdr:sp macro="" textlink="">
      <xdr:nvSpPr>
        <xdr:cNvPr id="7" name="Rectángulo 6">
          <a:extLst>
            <a:ext uri="{FF2B5EF4-FFF2-40B4-BE49-F238E27FC236}">
              <a16:creationId xmlns:a16="http://schemas.microsoft.com/office/drawing/2014/main" id="{ADB8A30B-EE54-4898-9C65-43BECD729BC1}"/>
            </a:ext>
          </a:extLst>
        </xdr:cNvPr>
        <xdr:cNvSpPr/>
      </xdr:nvSpPr>
      <xdr:spPr>
        <a:xfrm>
          <a:off x="698500" y="223813"/>
          <a:ext cx="2794000" cy="168449"/>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850" b="0" i="0" u="none" strike="noStrike">
              <a:solidFill>
                <a:schemeClr val="tx1"/>
              </a:solidFill>
              <a:latin typeface="Roboto Medium" panose="02000000000000000000" pitchFamily="2" charset="0"/>
              <a:ea typeface="Roboto Medium" panose="02000000000000000000" pitchFamily="2" charset="0"/>
              <a:cs typeface="+mn-cs"/>
            </a:rPr>
            <a:t>Resultados de robustez: efecto del Kit digital sobre la PTF </a:t>
          </a:r>
        </a:p>
        <a:p>
          <a:pPr marL="0" indent="0" algn="l" rtl="0">
            <a:defRPr sz="1000"/>
          </a:pPr>
          <a:endParaRPr lang="es-ES" sz="850" b="0" i="0" u="none" strike="noStrike">
            <a:solidFill>
              <a:schemeClr val="tx1"/>
            </a:solidFill>
            <a:latin typeface="Roboto Medium" panose="02000000000000000000" pitchFamily="2" charset="0"/>
            <a:ea typeface="Roboto Medium" panose="02000000000000000000" pitchFamily="2" charset="0"/>
            <a:cs typeface="+mn-cs"/>
          </a:endParaRPr>
        </a:p>
      </xdr:txBody>
    </xdr:sp>
    <xdr:clientData/>
  </xdr:twoCellAnchor>
  <xdr:twoCellAnchor>
    <xdr:from>
      <xdr:col>1</xdr:col>
      <xdr:colOff>9962</xdr:colOff>
      <xdr:row>10</xdr:row>
      <xdr:rowOff>101928</xdr:rowOff>
    </xdr:from>
    <xdr:to>
      <xdr:col>6</xdr:col>
      <xdr:colOff>455543</xdr:colOff>
      <xdr:row>19</xdr:row>
      <xdr:rowOff>6568</xdr:rowOff>
    </xdr:to>
    <xdr:sp macro="" textlink="" fLocksText="0">
      <xdr:nvSpPr>
        <xdr:cNvPr id="8" name="Rectángulo 7">
          <a:extLst>
            <a:ext uri="{FF2B5EF4-FFF2-40B4-BE49-F238E27FC236}">
              <a16:creationId xmlns:a16="http://schemas.microsoft.com/office/drawing/2014/main" id="{C79FE311-E541-4BA9-8F32-B8093DF22824}"/>
            </a:ext>
          </a:extLst>
        </xdr:cNvPr>
        <xdr:cNvSpPr/>
      </xdr:nvSpPr>
      <xdr:spPr>
        <a:xfrm>
          <a:off x="706272" y="2249980"/>
          <a:ext cx="4314702" cy="1277554"/>
        </a:xfrm>
        <a:prstGeom prst="rect">
          <a:avLst/>
        </a:prstGeom>
        <a:noFill/>
        <a:ln w="5080">
          <a:noFill/>
          <a:miter lim="800000"/>
          <a:headEnd/>
          <a:tailEnd/>
        </a:ln>
        <a:effectLst/>
      </xdr:spPr>
      <xdr:txBody>
        <a:bodyPr vertOverflow="clip" wrap="square" lIns="0" tIns="93600" rIns="0" bIns="0" anchor="t" upright="1"/>
        <a:lstStyle/>
        <a:p>
          <a:pPr marL="0" indent="0" algn="l" rtl="0">
            <a:defRPr sz="1000"/>
          </a:pPr>
          <a:r>
            <a:rPr lang="es-ES" sz="700" b="0" i="0" u="none" strike="noStrike">
              <a:solidFill>
                <a:schemeClr val="tx1"/>
              </a:solidFill>
              <a:latin typeface="Roboto Medium" panose="02000000000000000000" pitchFamily="2" charset="0"/>
              <a:ea typeface="Roboto Medium" panose="02000000000000000000" pitchFamily="2" charset="0"/>
              <a:cs typeface="Arial"/>
            </a:rPr>
            <a:t>FUENTE: </a:t>
          </a:r>
          <a:r>
            <a:rPr lang="es-ES" sz="700" b="0" i="0" u="none" strike="noStrike">
              <a:solidFill>
                <a:schemeClr val="tx1"/>
              </a:solidFill>
              <a:latin typeface="Roboto Light" panose="02000000000000000000" pitchFamily="2" charset="0"/>
              <a:ea typeface="Roboto Light" panose="02000000000000000000" pitchFamily="2" charset="0"/>
              <a:cs typeface="Arial"/>
            </a:rPr>
            <a:t>Banco de España (CBI) y Red.es. </a:t>
          </a:r>
        </a:p>
        <a:p>
          <a:pPr marL="0" indent="0" algn="l" rtl="0">
            <a:defRPr sz="1000"/>
          </a:pPr>
          <a:r>
            <a:rPr lang="es-ES" sz="700" b="1" i="0" u="none" strike="noStrike">
              <a:solidFill>
                <a:schemeClr val="tx1"/>
              </a:solidFill>
              <a:latin typeface="Roboto Light" panose="02000000000000000000" pitchFamily="2" charset="0"/>
              <a:ea typeface="Roboto Light" panose="02000000000000000000" pitchFamily="2" charset="0"/>
              <a:cs typeface="Arial"/>
            </a:rPr>
            <a:t>a</a:t>
          </a:r>
          <a:r>
            <a:rPr lang="es-ES" sz="700" b="0" i="0" u="none" strike="noStrike">
              <a:solidFill>
                <a:schemeClr val="tx1"/>
              </a:solidFill>
              <a:latin typeface="Roboto Light" panose="02000000000000000000" pitchFamily="2" charset="0"/>
              <a:ea typeface="Roboto Light" panose="02000000000000000000" pitchFamily="2" charset="0"/>
              <a:cs typeface="Arial"/>
            </a:rPr>
            <a:t>. </a:t>
          </a:r>
          <a:r>
            <a:rPr lang="es-ES_tradnl" sz="700" b="0" i="0" u="none" strike="noStrike">
              <a:solidFill>
                <a:schemeClr val="tx1"/>
              </a:solidFill>
              <a:latin typeface="Roboto Light" panose="02000000000000000000" pitchFamily="2" charset="0"/>
              <a:ea typeface="Roboto Light" panose="02000000000000000000" pitchFamily="2" charset="0"/>
              <a:cs typeface="Arial"/>
            </a:rPr>
            <a:t>Los coeficientes muestran el efecto medio del tratamiento sobre las empresas tratadas</a:t>
          </a:r>
          <a:r>
            <a:rPr lang="es-ES_tradnl" sz="700" b="0" i="0" u="none" strike="noStrike" baseline="0">
              <a:solidFill>
                <a:schemeClr val="tx1"/>
              </a:solidFill>
              <a:latin typeface="Roboto Light" panose="02000000000000000000" pitchFamily="2" charset="0"/>
              <a:ea typeface="Roboto Light" panose="02000000000000000000" pitchFamily="2" charset="0"/>
              <a:cs typeface="Arial"/>
            </a:rPr>
            <a:t> </a:t>
          </a:r>
          <a:r>
            <a:rPr lang="es-ES_tradnl" sz="700" b="0" i="0" u="none" strike="noStrike">
              <a:solidFill>
                <a:schemeClr val="tx1"/>
              </a:solidFill>
              <a:latin typeface="Roboto Light" panose="02000000000000000000" pitchFamily="2" charset="0"/>
              <a:ea typeface="Roboto Light" panose="02000000000000000000" pitchFamily="2" charset="0"/>
              <a:cs typeface="Arial"/>
            </a:rPr>
            <a:t>medido como el cambio en la productividad total de los factores (PTF, en logaritmos). Los</a:t>
          </a:r>
          <a:r>
            <a:rPr lang="es-ES_tradnl" sz="700" b="0" i="0" u="none" strike="noStrike" baseline="0">
              <a:solidFill>
                <a:schemeClr val="tx1"/>
              </a:solidFill>
              <a:latin typeface="Roboto Light" panose="02000000000000000000" pitchFamily="2" charset="0"/>
              <a:ea typeface="Roboto Light" panose="02000000000000000000" pitchFamily="2" charset="0"/>
              <a:cs typeface="Arial"/>
            </a:rPr>
            <a:t> asteríscos</a:t>
          </a:r>
          <a:r>
            <a:rPr lang="es-ES_tradnl" sz="700" b="0" i="0" u="none" strike="noStrike">
              <a:solidFill>
                <a:schemeClr val="tx1"/>
              </a:solidFill>
              <a:latin typeface="Roboto Light" panose="02000000000000000000" pitchFamily="2" charset="0"/>
              <a:ea typeface="Roboto Light" panose="02000000000000000000" pitchFamily="2" charset="0"/>
              <a:cs typeface="Arial"/>
            </a:rPr>
            <a:t> indican significatividad estadística al 1 %. Errores estándar robustos.</a:t>
          </a:r>
          <a:r>
            <a:rPr lang="es-ES_tradnl" sz="700" b="0" i="0" u="none" strike="noStrike" baseline="0">
              <a:solidFill>
                <a:schemeClr val="tx1"/>
              </a:solidFill>
              <a:latin typeface="Roboto Light" panose="02000000000000000000" pitchFamily="2" charset="0"/>
              <a:ea typeface="Roboto Light" panose="02000000000000000000" pitchFamily="2" charset="0"/>
              <a:cs typeface="Arial"/>
            </a:rPr>
            <a:t> </a:t>
          </a:r>
          <a:r>
            <a:rPr lang="es-ES_tradnl" sz="700" b="0" i="0" u="none" strike="noStrike">
              <a:solidFill>
                <a:schemeClr val="tx1"/>
              </a:solidFill>
              <a:latin typeface="Roboto Light" panose="02000000000000000000" pitchFamily="2" charset="0"/>
              <a:ea typeface="Roboto Light" panose="02000000000000000000" pitchFamily="2" charset="0"/>
              <a:cs typeface="Arial"/>
            </a:rPr>
            <a:t>Un coeficiente de 0,017 implica un aumento de la productividad de aproximadamente 1,7 % asociado al uso efectivo del programa.</a:t>
          </a:r>
          <a:r>
            <a:rPr lang="es-ES_tradnl" sz="700" b="0" i="0" u="none" strike="noStrike" baseline="0">
              <a:solidFill>
                <a:schemeClr val="tx1"/>
              </a:solidFill>
              <a:latin typeface="Roboto Light" panose="02000000000000000000" pitchFamily="2" charset="0"/>
              <a:ea typeface="Roboto Light" panose="02000000000000000000" pitchFamily="2" charset="0"/>
              <a:cs typeface="Arial"/>
            </a:rPr>
            <a:t> Los e</a:t>
          </a:r>
          <a:r>
            <a:rPr lang="es-ES_tradnl" sz="700" b="0" i="0" u="none" strike="noStrike">
              <a:solidFill>
                <a:schemeClr val="tx1"/>
              </a:solidFill>
              <a:latin typeface="Roboto Light" panose="02000000000000000000" pitchFamily="2" charset="0"/>
              <a:ea typeface="Roboto Light" panose="02000000000000000000" pitchFamily="2" charset="0"/>
              <a:cs typeface="Arial"/>
            </a:rPr>
            <a:t>stimadores usados son: </a:t>
          </a:r>
        </a:p>
        <a:p>
          <a:pPr marL="0" marR="0" lvl="0" indent="0" algn="l" defTabSz="914400" eaLnBrk="1" fontAlgn="t" latinLnBrk="0" hangingPunct="1">
            <a:lnSpc>
              <a:spcPct val="100000"/>
            </a:lnSpc>
            <a:spcBef>
              <a:spcPts val="0"/>
            </a:spcBef>
            <a:spcAft>
              <a:spcPts val="0"/>
            </a:spcAft>
            <a:buClrTx/>
            <a:buSzTx/>
            <a:buFontTx/>
            <a:buNone/>
            <a:tabLst/>
            <a:defRPr/>
          </a:pPr>
          <a:r>
            <a:rPr lang="es-ES_tradnl" sz="700" b="0" i="0" u="none" strike="noStrike">
              <a:solidFill>
                <a:schemeClr val="tx1"/>
              </a:solidFill>
              <a:latin typeface="Roboto Light" panose="02000000000000000000" pitchFamily="2" charset="0"/>
              <a:ea typeface="Roboto Light" panose="02000000000000000000" pitchFamily="2" charset="0"/>
              <a:cs typeface="Arial"/>
            </a:rPr>
            <a:t>dripw: estimador doblemente robusto con ponderación por probabilidad inversa;</a:t>
          </a:r>
          <a:br>
            <a:rPr lang="es-ES_tradnl" sz="700" b="0" i="0" u="none" strike="noStrike">
              <a:solidFill>
                <a:schemeClr val="tx1"/>
              </a:solidFill>
              <a:latin typeface="Roboto Light" panose="02000000000000000000" pitchFamily="2" charset="0"/>
              <a:ea typeface="Roboto Light" panose="02000000000000000000" pitchFamily="2" charset="0"/>
              <a:cs typeface="Arial"/>
            </a:rPr>
          </a:br>
          <a:r>
            <a:rPr lang="es-ES_tradnl" sz="700" b="0" i="0" u="none" strike="noStrike">
              <a:solidFill>
                <a:schemeClr val="tx1"/>
              </a:solidFill>
              <a:latin typeface="Roboto Light" panose="02000000000000000000" pitchFamily="2" charset="0"/>
              <a:ea typeface="Roboto Light" panose="02000000000000000000" pitchFamily="2" charset="0"/>
              <a:cs typeface="Arial"/>
            </a:rPr>
            <a:t>drimp: estimador doblemente robusto basado en imputación;</a:t>
          </a:r>
          <a:br>
            <a:rPr lang="es-ES_tradnl" sz="700" b="0" i="0" u="none" strike="noStrike">
              <a:solidFill>
                <a:schemeClr val="tx1"/>
              </a:solidFill>
              <a:latin typeface="Roboto Light" panose="02000000000000000000" pitchFamily="2" charset="0"/>
              <a:ea typeface="Roboto Light" panose="02000000000000000000" pitchFamily="2" charset="0"/>
              <a:cs typeface="Arial"/>
            </a:rPr>
          </a:br>
          <a:r>
            <a:rPr lang="es-ES_tradnl" sz="700" b="0" i="0" u="none" strike="noStrike">
              <a:solidFill>
                <a:schemeClr val="tx1"/>
              </a:solidFill>
              <a:latin typeface="Roboto Light" panose="02000000000000000000" pitchFamily="2" charset="0"/>
              <a:ea typeface="Roboto Light" panose="02000000000000000000" pitchFamily="2" charset="0"/>
              <a:cs typeface="Arial"/>
            </a:rPr>
            <a:t>reg: regresión ajustada;</a:t>
          </a:r>
          <a:br>
            <a:rPr lang="es-ES_tradnl" sz="700" b="0" i="0" u="none" strike="noStrike">
              <a:solidFill>
                <a:schemeClr val="tx1"/>
              </a:solidFill>
              <a:latin typeface="Roboto Light" panose="02000000000000000000" pitchFamily="2" charset="0"/>
              <a:ea typeface="Roboto Light" panose="02000000000000000000" pitchFamily="2" charset="0"/>
              <a:cs typeface="Arial"/>
            </a:rPr>
          </a:br>
          <a:r>
            <a:rPr lang="es-ES_tradnl" sz="700" b="0" i="0" u="none" strike="noStrike">
              <a:solidFill>
                <a:schemeClr val="tx1"/>
              </a:solidFill>
              <a:latin typeface="Roboto Light" panose="02000000000000000000" pitchFamily="2" charset="0"/>
              <a:ea typeface="Roboto Light" panose="02000000000000000000" pitchFamily="2" charset="0"/>
              <a:cs typeface="Arial"/>
            </a:rPr>
            <a:t>ipw / stdipw: ponderación por probabilidad inversa (estándar y estandarizada);</a:t>
          </a:r>
          <a:br>
            <a:rPr lang="es-ES_tradnl" sz="700" b="0" i="0" u="none" strike="noStrike">
              <a:solidFill>
                <a:schemeClr val="tx1"/>
              </a:solidFill>
              <a:latin typeface="Roboto Light" panose="02000000000000000000" pitchFamily="2" charset="0"/>
              <a:ea typeface="Roboto Light" panose="02000000000000000000" pitchFamily="2" charset="0"/>
              <a:cs typeface="Arial"/>
            </a:rPr>
          </a:br>
          <a:r>
            <a:rPr lang="es-ES_tradnl" sz="700" b="0" i="0" u="none" strike="noStrike">
              <a:solidFill>
                <a:schemeClr val="tx1"/>
              </a:solidFill>
              <a:latin typeface="Roboto Light" panose="02000000000000000000" pitchFamily="2" charset="0"/>
              <a:ea typeface="Roboto Light" panose="02000000000000000000" pitchFamily="2" charset="0"/>
              <a:cs typeface="Arial"/>
            </a:rPr>
            <a:t>sipwra: estimador semiparamétrico IPW con ajuste por regresión.</a:t>
          </a:r>
        </a:p>
        <a:p>
          <a:pPr fontAlgn="t"/>
          <a:endParaRPr lang="es-ES_tradnl" sz="700" b="0" i="0" u="none" strike="noStrike">
            <a:solidFill>
              <a:schemeClr val="tx1"/>
            </a:solidFill>
            <a:latin typeface="Roboto Light" panose="02000000000000000000" pitchFamily="2" charset="0"/>
            <a:ea typeface="Roboto Light" panose="02000000000000000000" pitchFamily="2" charset="0"/>
            <a:cs typeface="Arial"/>
          </a:endParaRPr>
        </a:p>
        <a:p>
          <a:pPr marL="0" indent="0" algn="l" rtl="0">
            <a:defRPr sz="1000"/>
          </a:pPr>
          <a:endParaRPr lang="es-ES" sz="700" b="0" i="0" u="none" strike="noStrike">
            <a:solidFill>
              <a:schemeClr val="tx1"/>
            </a:solidFill>
            <a:latin typeface="Roboto Medium" panose="02000000000000000000" pitchFamily="2" charset="0"/>
            <a:ea typeface="Roboto Medium" panose="02000000000000000000" pitchFamily="2" charset="0"/>
            <a:cs typeface="Arial"/>
          </a:endParaRPr>
        </a:p>
      </xdr:txBody>
    </xdr:sp>
    <xdr:clientData fLocksWithSheet="0"/>
  </xdr:twoCellAnchor>
</xdr:wsDr>
</file>

<file path=xl/drawings/drawing6.xml><?xml version="1.0" encoding="utf-8"?>
<xdr:wsDr xmlns:xdr="http://schemas.openxmlformats.org/drawingml/2006/spreadsheetDrawing" xmlns:a="http://schemas.openxmlformats.org/drawingml/2006/main">
  <xdr:twoCellAnchor>
    <xdr:from>
      <xdr:col>9</xdr:col>
      <xdr:colOff>603250</xdr:colOff>
      <xdr:row>2</xdr:row>
      <xdr:rowOff>66674</xdr:rowOff>
    </xdr:from>
    <xdr:to>
      <xdr:col>19</xdr:col>
      <xdr:colOff>157175</xdr:colOff>
      <xdr:row>23</xdr:row>
      <xdr:rowOff>174217</xdr:rowOff>
    </xdr:to>
    <xdr:graphicFrame macro="">
      <xdr:nvGraphicFramePr>
        <xdr:cNvPr id="5" name="Gráfico 4">
          <a:extLst>
            <a:ext uri="{FF2B5EF4-FFF2-40B4-BE49-F238E27FC236}">
              <a16:creationId xmlns:a16="http://schemas.microsoft.com/office/drawing/2014/main" id="{B6140B1C-A17E-EDA5-9F88-708C58FB3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238124</xdr:colOff>
      <xdr:row>25</xdr:row>
      <xdr:rowOff>15874</xdr:rowOff>
    </xdr:from>
    <xdr:to>
      <xdr:col>19</xdr:col>
      <xdr:colOff>554049</xdr:colOff>
      <xdr:row>46</xdr:row>
      <xdr:rowOff>123417</xdr:rowOff>
    </xdr:to>
    <xdr:graphicFrame macro="">
      <xdr:nvGraphicFramePr>
        <xdr:cNvPr id="6" name="Gráfico 5">
          <a:extLst>
            <a:ext uri="{FF2B5EF4-FFF2-40B4-BE49-F238E27FC236}">
              <a16:creationId xmlns:a16="http://schemas.microsoft.com/office/drawing/2014/main" id="{80C9A525-E8AC-AFFA-B540-0FADF6DCA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393700</xdr:colOff>
      <xdr:row>4</xdr:row>
      <xdr:rowOff>177800</xdr:rowOff>
    </xdr:from>
    <xdr:to>
      <xdr:col>19</xdr:col>
      <xdr:colOff>152400</xdr:colOff>
      <xdr:row>18</xdr:row>
      <xdr:rowOff>133350</xdr:rowOff>
    </xdr:to>
    <xdr:graphicFrame macro="">
      <xdr:nvGraphicFramePr>
        <xdr:cNvPr id="3" name="Gráfico 2">
          <a:extLst>
            <a:ext uri="{FF2B5EF4-FFF2-40B4-BE49-F238E27FC236}">
              <a16:creationId xmlns:a16="http://schemas.microsoft.com/office/drawing/2014/main" id="{A00034A1-1833-4A2D-9722-80CE39DA1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479208</xdr:colOff>
      <xdr:row>1</xdr:row>
      <xdr:rowOff>210457</xdr:rowOff>
    </xdr:from>
    <xdr:to>
      <xdr:col>20</xdr:col>
      <xdr:colOff>330200</xdr:colOff>
      <xdr:row>4</xdr:row>
      <xdr:rowOff>171450</xdr:rowOff>
    </xdr:to>
    <xdr:sp macro="" textlink="">
      <xdr:nvSpPr>
        <xdr:cNvPr id="4" name="Rectángulo 3">
          <a:extLst>
            <a:ext uri="{FF2B5EF4-FFF2-40B4-BE49-F238E27FC236}">
              <a16:creationId xmlns:a16="http://schemas.microsoft.com/office/drawing/2014/main" id="{4204F7B8-EC6B-4E45-98B0-94F3BA22D627}"/>
            </a:ext>
          </a:extLst>
        </xdr:cNvPr>
        <xdr:cNvSpPr/>
      </xdr:nvSpPr>
      <xdr:spPr>
        <a:xfrm>
          <a:off x="5965608" y="1055007"/>
          <a:ext cx="6556592" cy="608693"/>
        </a:xfrm>
        <a:prstGeom prst="rect">
          <a:avLst/>
        </a:prstGeom>
        <a:solidFill>
          <a:srgbClr val="F3CE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9</xdr:col>
      <xdr:colOff>469900</xdr:colOff>
      <xdr:row>2</xdr:row>
      <xdr:rowOff>17236</xdr:rowOff>
    </xdr:from>
    <xdr:to>
      <xdr:col>12</xdr:col>
      <xdr:colOff>450821</xdr:colOff>
      <xdr:row>3</xdr:row>
      <xdr:rowOff>95250</xdr:rowOff>
    </xdr:to>
    <xdr:sp macro="" textlink="">
      <xdr:nvSpPr>
        <xdr:cNvPr id="5" name="Rectángulo 4">
          <a:extLst>
            <a:ext uri="{FF2B5EF4-FFF2-40B4-BE49-F238E27FC236}">
              <a16:creationId xmlns:a16="http://schemas.microsoft.com/office/drawing/2014/main" id="{1631C43C-64DE-45CC-B09D-277514C42F7E}"/>
            </a:ext>
          </a:extLst>
        </xdr:cNvPr>
        <xdr:cNvSpPr/>
      </xdr:nvSpPr>
      <xdr:spPr>
        <a:xfrm>
          <a:off x="5956300" y="1077686"/>
          <a:ext cx="1809721" cy="293914"/>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1000" b="0" i="0" u="none" strike="noStrike">
              <a:solidFill>
                <a:schemeClr val="tx1"/>
              </a:solidFill>
              <a:latin typeface="BdE Neue Helvetica 45 Light" panose="020B0403020202020204" pitchFamily="34" charset="0"/>
              <a:ea typeface="Roboto" panose="02000000000000000000" pitchFamily="2" charset="0"/>
              <a:cs typeface="+mn-cs"/>
            </a:rPr>
            <a:t>Gráfico 1</a:t>
          </a:r>
        </a:p>
      </xdr:txBody>
    </xdr:sp>
    <xdr:clientData/>
  </xdr:twoCellAnchor>
  <xdr:twoCellAnchor>
    <xdr:from>
      <xdr:col>9</xdr:col>
      <xdr:colOff>453571</xdr:colOff>
      <xdr:row>3</xdr:row>
      <xdr:rowOff>69850</xdr:rowOff>
    </xdr:from>
    <xdr:to>
      <xdr:col>20</xdr:col>
      <xdr:colOff>355600</xdr:colOff>
      <xdr:row>5</xdr:row>
      <xdr:rowOff>27007</xdr:rowOff>
    </xdr:to>
    <xdr:sp macro="" textlink="">
      <xdr:nvSpPr>
        <xdr:cNvPr id="6" name="Rectángulo 5">
          <a:extLst>
            <a:ext uri="{FF2B5EF4-FFF2-40B4-BE49-F238E27FC236}">
              <a16:creationId xmlns:a16="http://schemas.microsoft.com/office/drawing/2014/main" id="{718C7321-BBBE-4E51-829B-9B94E6CC6850}"/>
            </a:ext>
          </a:extLst>
        </xdr:cNvPr>
        <xdr:cNvSpPr/>
      </xdr:nvSpPr>
      <xdr:spPr>
        <a:xfrm>
          <a:off x="5939971" y="1346200"/>
          <a:ext cx="6607629" cy="388957"/>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1000" b="1" i="0" u="none" strike="noStrike">
              <a:solidFill>
                <a:schemeClr val="tx1"/>
              </a:solidFill>
              <a:latin typeface="BdE Neue Helvetica 45 Light" panose="020B0403020202020204" pitchFamily="34" charset="0"/>
              <a:ea typeface="Roboto Medium" panose="02000000000000000000" pitchFamily="2" charset="0"/>
              <a:cs typeface="+mn-cs"/>
            </a:rPr>
            <a:t>Diferencia en la productividad total de los factores de empresas tratadas en comparación con no tratadas</a:t>
          </a:r>
          <a:endParaRPr lang="es-ES" sz="850" b="1" i="0" u="none" strike="noStrike">
            <a:solidFill>
              <a:schemeClr val="tx1"/>
            </a:solidFill>
            <a:latin typeface="BdE Neue Helvetica 45 Light" panose="020B0403020202020204" pitchFamily="34" charset="0"/>
            <a:ea typeface="Roboto Medium" panose="02000000000000000000" pitchFamily="2" charset="0"/>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479208</xdr:colOff>
      <xdr:row>1</xdr:row>
      <xdr:rowOff>210457</xdr:rowOff>
    </xdr:from>
    <xdr:to>
      <xdr:col>20</xdr:col>
      <xdr:colOff>330200</xdr:colOff>
      <xdr:row>4</xdr:row>
      <xdr:rowOff>171450</xdr:rowOff>
    </xdr:to>
    <xdr:sp macro="" textlink="">
      <xdr:nvSpPr>
        <xdr:cNvPr id="3" name="Rectángulo 2">
          <a:extLst>
            <a:ext uri="{FF2B5EF4-FFF2-40B4-BE49-F238E27FC236}">
              <a16:creationId xmlns:a16="http://schemas.microsoft.com/office/drawing/2014/main" id="{B085AE3A-441B-4C16-994D-C5E006B13740}"/>
            </a:ext>
          </a:extLst>
        </xdr:cNvPr>
        <xdr:cNvSpPr/>
      </xdr:nvSpPr>
      <xdr:spPr>
        <a:xfrm>
          <a:off x="5965608" y="1058182"/>
          <a:ext cx="6559767" cy="618218"/>
        </a:xfrm>
        <a:prstGeom prst="rect">
          <a:avLst/>
        </a:prstGeom>
        <a:solidFill>
          <a:srgbClr val="F3CE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9</xdr:col>
      <xdr:colOff>469900</xdr:colOff>
      <xdr:row>2</xdr:row>
      <xdr:rowOff>17236</xdr:rowOff>
    </xdr:from>
    <xdr:to>
      <xdr:col>12</xdr:col>
      <xdr:colOff>450821</xdr:colOff>
      <xdr:row>3</xdr:row>
      <xdr:rowOff>95250</xdr:rowOff>
    </xdr:to>
    <xdr:sp macro="" textlink="">
      <xdr:nvSpPr>
        <xdr:cNvPr id="4" name="Rectángulo 3">
          <a:extLst>
            <a:ext uri="{FF2B5EF4-FFF2-40B4-BE49-F238E27FC236}">
              <a16:creationId xmlns:a16="http://schemas.microsoft.com/office/drawing/2014/main" id="{3C298CC1-E2B8-4859-8F03-69803308D1A8}"/>
            </a:ext>
          </a:extLst>
        </xdr:cNvPr>
        <xdr:cNvSpPr/>
      </xdr:nvSpPr>
      <xdr:spPr>
        <a:xfrm>
          <a:off x="5953125" y="1084036"/>
          <a:ext cx="1809721" cy="297089"/>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1000" b="0" i="0" u="none" strike="noStrike">
              <a:solidFill>
                <a:schemeClr val="tx1"/>
              </a:solidFill>
              <a:latin typeface="BdE Neue Helvetica 45 Light" panose="020B0403020202020204" pitchFamily="34" charset="0"/>
              <a:ea typeface="Roboto" panose="02000000000000000000" pitchFamily="2" charset="0"/>
              <a:cs typeface="+mn-cs"/>
            </a:rPr>
            <a:t>Gráfico 1</a:t>
          </a:r>
        </a:p>
      </xdr:txBody>
    </xdr:sp>
    <xdr:clientData/>
  </xdr:twoCellAnchor>
  <xdr:twoCellAnchor>
    <xdr:from>
      <xdr:col>9</xdr:col>
      <xdr:colOff>453571</xdr:colOff>
      <xdr:row>3</xdr:row>
      <xdr:rowOff>69850</xdr:rowOff>
    </xdr:from>
    <xdr:to>
      <xdr:col>20</xdr:col>
      <xdr:colOff>355600</xdr:colOff>
      <xdr:row>5</xdr:row>
      <xdr:rowOff>27007</xdr:rowOff>
    </xdr:to>
    <xdr:sp macro="" textlink="">
      <xdr:nvSpPr>
        <xdr:cNvPr id="5" name="Rectángulo 4">
          <a:extLst>
            <a:ext uri="{FF2B5EF4-FFF2-40B4-BE49-F238E27FC236}">
              <a16:creationId xmlns:a16="http://schemas.microsoft.com/office/drawing/2014/main" id="{F5E27F02-B095-4CAA-8402-A58699368FCD}"/>
            </a:ext>
          </a:extLst>
        </xdr:cNvPr>
        <xdr:cNvSpPr/>
      </xdr:nvSpPr>
      <xdr:spPr>
        <a:xfrm>
          <a:off x="5936796" y="1352550"/>
          <a:ext cx="6607629" cy="401657"/>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1000" b="1" i="0" u="none" strike="noStrike">
              <a:solidFill>
                <a:schemeClr val="tx1"/>
              </a:solidFill>
              <a:latin typeface="BdE Neue Helvetica 45 Light" panose="020B0403020202020204" pitchFamily="34" charset="0"/>
              <a:ea typeface="Roboto Medium" panose="02000000000000000000" pitchFamily="2" charset="0"/>
              <a:cs typeface="+mn-cs"/>
            </a:rPr>
            <a:t>Diferencia en la productividad total de los factores de empresas tratadas en comparación con no tratadas</a:t>
          </a:r>
          <a:endParaRPr lang="es-ES" sz="850" b="1" i="0" u="none" strike="noStrike">
            <a:solidFill>
              <a:schemeClr val="tx1"/>
            </a:solidFill>
            <a:latin typeface="BdE Neue Helvetica 45 Light" panose="020B0403020202020204" pitchFamily="34" charset="0"/>
            <a:ea typeface="Roboto Medium" panose="02000000000000000000" pitchFamily="2" charset="0"/>
            <a:cs typeface="+mn-cs"/>
          </a:endParaRPr>
        </a:p>
      </xdr:txBody>
    </xdr:sp>
    <xdr:clientData/>
  </xdr:twoCellAnchor>
  <xdr:twoCellAnchor>
    <xdr:from>
      <xdr:col>9</xdr:col>
      <xdr:colOff>533400</xdr:colOff>
      <xdr:row>5</xdr:row>
      <xdr:rowOff>114300</xdr:rowOff>
    </xdr:from>
    <xdr:to>
      <xdr:col>19</xdr:col>
      <xdr:colOff>478200</xdr:colOff>
      <xdr:row>16</xdr:row>
      <xdr:rowOff>132700</xdr:rowOff>
    </xdr:to>
    <xdr:graphicFrame macro="">
      <xdr:nvGraphicFramePr>
        <xdr:cNvPr id="8" name="Gráfico 7">
          <a:extLst>
            <a:ext uri="{FF2B5EF4-FFF2-40B4-BE49-F238E27FC236}">
              <a16:creationId xmlns:a16="http://schemas.microsoft.com/office/drawing/2014/main" id="{6D63ECCD-3F86-44E5-9152-8DDE992C5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500529</xdr:colOff>
      <xdr:row>6</xdr:row>
      <xdr:rowOff>9072</xdr:rowOff>
    </xdr:from>
    <xdr:to>
      <xdr:col>17</xdr:col>
      <xdr:colOff>526143</xdr:colOff>
      <xdr:row>21</xdr:row>
      <xdr:rowOff>67236</xdr:rowOff>
    </xdr:to>
    <xdr:graphicFrame macro="">
      <xdr:nvGraphicFramePr>
        <xdr:cNvPr id="2" name="Gráfico 1">
          <a:extLst>
            <a:ext uri="{FF2B5EF4-FFF2-40B4-BE49-F238E27FC236}">
              <a16:creationId xmlns:a16="http://schemas.microsoft.com/office/drawing/2014/main" id="{771C45B1-4CE1-4A1A-823C-ED72F3193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503246</xdr:colOff>
      <xdr:row>2</xdr:row>
      <xdr:rowOff>123825</xdr:rowOff>
    </xdr:from>
    <xdr:to>
      <xdr:col>18</xdr:col>
      <xdr:colOff>369794</xdr:colOff>
      <xdr:row>6</xdr:row>
      <xdr:rowOff>84818</xdr:rowOff>
    </xdr:to>
    <xdr:sp macro="" textlink="">
      <xdr:nvSpPr>
        <xdr:cNvPr id="3" name="Rectángulo 2">
          <a:extLst>
            <a:ext uri="{FF2B5EF4-FFF2-40B4-BE49-F238E27FC236}">
              <a16:creationId xmlns:a16="http://schemas.microsoft.com/office/drawing/2014/main" id="{0E0E0D03-E2F1-4E29-AAF3-FF6514E99EE9}"/>
            </a:ext>
          </a:extLst>
        </xdr:cNvPr>
        <xdr:cNvSpPr/>
      </xdr:nvSpPr>
      <xdr:spPr>
        <a:xfrm>
          <a:off x="6599246" y="527237"/>
          <a:ext cx="7486548" cy="823846"/>
        </a:xfrm>
        <a:prstGeom prst="rect">
          <a:avLst/>
        </a:prstGeom>
        <a:solidFill>
          <a:srgbClr val="F3CE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8</xdr:col>
      <xdr:colOff>497114</xdr:colOff>
      <xdr:row>2</xdr:row>
      <xdr:rowOff>149679</xdr:rowOff>
    </xdr:from>
    <xdr:to>
      <xdr:col>11</xdr:col>
      <xdr:colOff>20835</xdr:colOff>
      <xdr:row>4</xdr:row>
      <xdr:rowOff>35379</xdr:rowOff>
    </xdr:to>
    <xdr:sp macro="" textlink="">
      <xdr:nvSpPr>
        <xdr:cNvPr id="4" name="Rectángulo 3">
          <a:extLst>
            <a:ext uri="{FF2B5EF4-FFF2-40B4-BE49-F238E27FC236}">
              <a16:creationId xmlns:a16="http://schemas.microsoft.com/office/drawing/2014/main" id="{6D798A8C-D3B8-4D54-B598-6F056AB36301}"/>
            </a:ext>
          </a:extLst>
        </xdr:cNvPr>
        <xdr:cNvSpPr/>
      </xdr:nvSpPr>
      <xdr:spPr>
        <a:xfrm>
          <a:off x="6593114" y="553091"/>
          <a:ext cx="1809721" cy="300317"/>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1000" b="0" i="0" u="none" strike="noStrike">
              <a:solidFill>
                <a:schemeClr val="tx1"/>
              </a:solidFill>
              <a:latin typeface="BdE Neue Helvetica 45 Light" panose="020B0403020202020204" pitchFamily="34" charset="0"/>
              <a:ea typeface="Roboto" panose="02000000000000000000" pitchFamily="2" charset="0"/>
              <a:cs typeface="+mn-cs"/>
            </a:rPr>
            <a:t>Gráfico 2</a:t>
          </a:r>
        </a:p>
      </xdr:txBody>
    </xdr:sp>
    <xdr:clientData/>
  </xdr:twoCellAnchor>
  <xdr:twoCellAnchor>
    <xdr:from>
      <xdr:col>8</xdr:col>
      <xdr:colOff>480785</xdr:colOff>
      <xdr:row>4</xdr:row>
      <xdr:rowOff>9979</xdr:rowOff>
    </xdr:from>
    <xdr:to>
      <xdr:col>17</xdr:col>
      <xdr:colOff>230414</xdr:colOff>
      <xdr:row>5</xdr:row>
      <xdr:rowOff>181222</xdr:rowOff>
    </xdr:to>
    <xdr:sp macro="" textlink="">
      <xdr:nvSpPr>
        <xdr:cNvPr id="5" name="Rectángulo 4">
          <a:extLst>
            <a:ext uri="{FF2B5EF4-FFF2-40B4-BE49-F238E27FC236}">
              <a16:creationId xmlns:a16="http://schemas.microsoft.com/office/drawing/2014/main" id="{2CFFF619-E849-45B1-A56B-9A37F7AD9358}"/>
            </a:ext>
          </a:extLst>
        </xdr:cNvPr>
        <xdr:cNvSpPr/>
      </xdr:nvSpPr>
      <xdr:spPr>
        <a:xfrm>
          <a:off x="6576785" y="817336"/>
          <a:ext cx="6607629" cy="388957"/>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1000" b="1" i="0" u="none" strike="noStrike">
              <a:solidFill>
                <a:schemeClr val="tx1"/>
              </a:solidFill>
              <a:latin typeface="BdE Neue Helvetica 45 Light" panose="020B0403020202020204" pitchFamily="34" charset="0"/>
              <a:ea typeface="Roboto Medium" panose="02000000000000000000" pitchFamily="2" charset="0"/>
              <a:cs typeface="+mn-cs"/>
            </a:rPr>
            <a:t>Efecto estimado del programa Kit Digital sobre la productividad total de los factores de las empresas beneficiarias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506879</xdr:colOff>
      <xdr:row>6</xdr:row>
      <xdr:rowOff>9072</xdr:rowOff>
    </xdr:from>
    <xdr:to>
      <xdr:col>16</xdr:col>
      <xdr:colOff>422879</xdr:colOff>
      <xdr:row>17</xdr:row>
      <xdr:rowOff>97943</xdr:rowOff>
    </xdr:to>
    <xdr:graphicFrame macro="">
      <xdr:nvGraphicFramePr>
        <xdr:cNvPr id="2" name="Gráfico 1">
          <a:extLst>
            <a:ext uri="{FF2B5EF4-FFF2-40B4-BE49-F238E27FC236}">
              <a16:creationId xmlns:a16="http://schemas.microsoft.com/office/drawing/2014/main" id="{8C9A98EE-6F9C-4D50-BF59-971C88A51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503246</xdr:colOff>
      <xdr:row>2</xdr:row>
      <xdr:rowOff>123825</xdr:rowOff>
    </xdr:from>
    <xdr:to>
      <xdr:col>18</xdr:col>
      <xdr:colOff>369794</xdr:colOff>
      <xdr:row>6</xdr:row>
      <xdr:rowOff>84818</xdr:rowOff>
    </xdr:to>
    <xdr:sp macro="" textlink="">
      <xdr:nvSpPr>
        <xdr:cNvPr id="3" name="Rectángulo 2">
          <a:extLst>
            <a:ext uri="{FF2B5EF4-FFF2-40B4-BE49-F238E27FC236}">
              <a16:creationId xmlns:a16="http://schemas.microsoft.com/office/drawing/2014/main" id="{40381597-8604-4CD0-A471-728883C687E2}"/>
            </a:ext>
          </a:extLst>
        </xdr:cNvPr>
        <xdr:cNvSpPr/>
      </xdr:nvSpPr>
      <xdr:spPr>
        <a:xfrm>
          <a:off x="6602421" y="520700"/>
          <a:ext cx="7486548" cy="815068"/>
        </a:xfrm>
        <a:prstGeom prst="rect">
          <a:avLst/>
        </a:prstGeom>
        <a:solidFill>
          <a:srgbClr val="F3CE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8</xdr:col>
      <xdr:colOff>497114</xdr:colOff>
      <xdr:row>2</xdr:row>
      <xdr:rowOff>149679</xdr:rowOff>
    </xdr:from>
    <xdr:to>
      <xdr:col>11</xdr:col>
      <xdr:colOff>20835</xdr:colOff>
      <xdr:row>4</xdr:row>
      <xdr:rowOff>35379</xdr:rowOff>
    </xdr:to>
    <xdr:sp macro="" textlink="">
      <xdr:nvSpPr>
        <xdr:cNvPr id="4" name="Rectángulo 3">
          <a:extLst>
            <a:ext uri="{FF2B5EF4-FFF2-40B4-BE49-F238E27FC236}">
              <a16:creationId xmlns:a16="http://schemas.microsoft.com/office/drawing/2014/main" id="{D90FBEC3-ACF3-4129-8FA0-77FCFAB8F538}"/>
            </a:ext>
          </a:extLst>
        </xdr:cNvPr>
        <xdr:cNvSpPr/>
      </xdr:nvSpPr>
      <xdr:spPr>
        <a:xfrm>
          <a:off x="6593114" y="549729"/>
          <a:ext cx="1809721" cy="295275"/>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1000" b="0" i="0" u="none" strike="noStrike">
              <a:solidFill>
                <a:schemeClr val="tx1"/>
              </a:solidFill>
              <a:latin typeface="BdE Neue Helvetica 45 Light" panose="020B0403020202020204" pitchFamily="34" charset="0"/>
              <a:ea typeface="Roboto" panose="02000000000000000000" pitchFamily="2" charset="0"/>
              <a:cs typeface="+mn-cs"/>
            </a:rPr>
            <a:t>Gráfico 2</a:t>
          </a:r>
        </a:p>
      </xdr:txBody>
    </xdr:sp>
    <xdr:clientData/>
  </xdr:twoCellAnchor>
  <xdr:twoCellAnchor>
    <xdr:from>
      <xdr:col>8</xdr:col>
      <xdr:colOff>480785</xdr:colOff>
      <xdr:row>4</xdr:row>
      <xdr:rowOff>9979</xdr:rowOff>
    </xdr:from>
    <xdr:to>
      <xdr:col>17</xdr:col>
      <xdr:colOff>230414</xdr:colOff>
      <xdr:row>5</xdr:row>
      <xdr:rowOff>181222</xdr:rowOff>
    </xdr:to>
    <xdr:sp macro="" textlink="">
      <xdr:nvSpPr>
        <xdr:cNvPr id="5" name="Rectángulo 4">
          <a:extLst>
            <a:ext uri="{FF2B5EF4-FFF2-40B4-BE49-F238E27FC236}">
              <a16:creationId xmlns:a16="http://schemas.microsoft.com/office/drawing/2014/main" id="{283B8E0B-B19B-4D78-ADDA-DDB89DF705C6}"/>
            </a:ext>
          </a:extLst>
        </xdr:cNvPr>
        <xdr:cNvSpPr/>
      </xdr:nvSpPr>
      <xdr:spPr>
        <a:xfrm>
          <a:off x="6579960" y="816429"/>
          <a:ext cx="6604454" cy="390318"/>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1000" b="1" i="0" u="none" strike="noStrike">
              <a:solidFill>
                <a:schemeClr val="tx1"/>
              </a:solidFill>
              <a:latin typeface="BdE Neue Helvetica 45 Light" panose="020B0403020202020204" pitchFamily="34" charset="0"/>
              <a:ea typeface="Roboto Medium" panose="02000000000000000000" pitchFamily="2" charset="0"/>
              <a:cs typeface="+mn-cs"/>
            </a:rPr>
            <a:t>Efecto estimado del programa Kit Digital sobre la productividad total de los factores de las empresas beneficiarias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279400</xdr:colOff>
      <xdr:row>1</xdr:row>
      <xdr:rowOff>1</xdr:rowOff>
    </xdr:from>
    <xdr:to>
      <xdr:col>17</xdr:col>
      <xdr:colOff>595325</xdr:colOff>
      <xdr:row>20</xdr:row>
      <xdr:rowOff>151994</xdr:rowOff>
    </xdr:to>
    <xdr:graphicFrame macro="">
      <xdr:nvGraphicFramePr>
        <xdr:cNvPr id="2" name="Gráfico 1">
          <a:extLst>
            <a:ext uri="{FF2B5EF4-FFF2-40B4-BE49-F238E27FC236}">
              <a16:creationId xmlns:a16="http://schemas.microsoft.com/office/drawing/2014/main" id="{DF29694D-515F-471A-A47C-C3AFA600F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0.07486</cdr:x>
      <cdr:y>0.04112</cdr:y>
    </cdr:from>
    <cdr:to>
      <cdr:x>0.57434</cdr:x>
      <cdr:y>0.1028</cdr:y>
    </cdr:to>
    <cdr:sp macro="" textlink="">
      <cdr:nvSpPr>
        <cdr:cNvPr id="2" name="CuadroTexto 1">
          <a:extLst xmlns:a="http://schemas.openxmlformats.org/drawingml/2006/main">
            <a:ext uri="{FF2B5EF4-FFF2-40B4-BE49-F238E27FC236}">
              <a16:creationId xmlns:a16="http://schemas.microsoft.com/office/drawing/2014/main" id="{E4A11AC8-075C-8523-E5A1-8B48192681E4}"/>
            </a:ext>
          </a:extLst>
        </cdr:cNvPr>
        <cdr:cNvSpPr txBox="1"/>
      </cdr:nvSpPr>
      <cdr:spPr>
        <a:xfrm xmlns:a="http://schemas.openxmlformats.org/drawingml/2006/main">
          <a:off x="537029" y="163285"/>
          <a:ext cx="3583214" cy="2449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BdE Neue Helvetica 45 Light" panose="020B0403020202020204" pitchFamily="34" charset="0"/>
              <a:ea typeface="+mn-ea"/>
              <a:cs typeface="+mn-cs"/>
            </a:rPr>
            <a:t>puntos </a:t>
          </a:r>
          <a:r>
            <a:rPr lang="es-ES" sz="1000" b="0" i="0" baseline="0">
              <a:effectLst/>
              <a:latin typeface="BdE Neue Helvetica 45 Light" panose="020B0403020202020204" pitchFamily="34" charset="0"/>
              <a:ea typeface="+mn-ea"/>
              <a:cs typeface="+mn-cs"/>
            </a:rPr>
            <a:t>porcentuales</a:t>
          </a:r>
          <a:endParaRPr lang="es-ES_tradnl" sz="1000">
            <a:effectLst/>
            <a:latin typeface="BdE Neue Helvetica 45 Light" panose="020B0403020202020204" pitchFamily="34" charset="0"/>
          </a:endParaRPr>
        </a:p>
        <a:p xmlns:a="http://schemas.openxmlformats.org/drawingml/2006/main">
          <a:endParaRPr lang="es-ES_tradnl" sz="1100" kern="1200"/>
        </a:p>
      </cdr:txBody>
    </cdr:sp>
  </cdr:relSizeAnchor>
</c:userShapes>
</file>

<file path=xl/drawings/drawing13.xml><?xml version="1.0" encoding="utf-8"?>
<xdr:wsDr xmlns:xdr="http://schemas.openxmlformats.org/drawingml/2006/spreadsheetDrawing" xmlns:a="http://schemas.openxmlformats.org/drawingml/2006/main">
  <xdr:twoCellAnchor>
    <xdr:from>
      <xdr:col>8</xdr:col>
      <xdr:colOff>715065</xdr:colOff>
      <xdr:row>3</xdr:row>
      <xdr:rowOff>27214</xdr:rowOff>
    </xdr:from>
    <xdr:to>
      <xdr:col>18</xdr:col>
      <xdr:colOff>450117</xdr:colOff>
      <xdr:row>6</xdr:row>
      <xdr:rowOff>0</xdr:rowOff>
    </xdr:to>
    <xdr:sp macro="" textlink="">
      <xdr:nvSpPr>
        <xdr:cNvPr id="3" name="Rectángulo 2">
          <a:extLst>
            <a:ext uri="{FF2B5EF4-FFF2-40B4-BE49-F238E27FC236}">
              <a16:creationId xmlns:a16="http://schemas.microsoft.com/office/drawing/2014/main" id="{2DBE9D8E-FC8A-4D16-8FC9-E0613303DC1F}"/>
            </a:ext>
          </a:extLst>
        </xdr:cNvPr>
        <xdr:cNvSpPr/>
      </xdr:nvSpPr>
      <xdr:spPr>
        <a:xfrm>
          <a:off x="6811065" y="620695"/>
          <a:ext cx="7355052" cy="632209"/>
        </a:xfrm>
        <a:prstGeom prst="rect">
          <a:avLst/>
        </a:prstGeom>
        <a:solidFill>
          <a:srgbClr val="F3CED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 </a:t>
          </a:r>
        </a:p>
      </xdr:txBody>
    </xdr:sp>
    <xdr:clientData/>
  </xdr:twoCellAnchor>
  <xdr:twoCellAnchor>
    <xdr:from>
      <xdr:col>8</xdr:col>
      <xdr:colOff>705758</xdr:colOff>
      <xdr:row>3</xdr:row>
      <xdr:rowOff>49893</xdr:rowOff>
    </xdr:from>
    <xdr:to>
      <xdr:col>11</xdr:col>
      <xdr:colOff>229479</xdr:colOff>
      <xdr:row>4</xdr:row>
      <xdr:rowOff>128761</xdr:rowOff>
    </xdr:to>
    <xdr:sp macro="" textlink="">
      <xdr:nvSpPr>
        <xdr:cNvPr id="4" name="Rectángulo 3">
          <a:extLst>
            <a:ext uri="{FF2B5EF4-FFF2-40B4-BE49-F238E27FC236}">
              <a16:creationId xmlns:a16="http://schemas.microsoft.com/office/drawing/2014/main" id="{06E79FD6-27F9-48FE-BCCB-C076DDE76C28}"/>
            </a:ext>
          </a:extLst>
        </xdr:cNvPr>
        <xdr:cNvSpPr/>
      </xdr:nvSpPr>
      <xdr:spPr>
        <a:xfrm>
          <a:off x="6801758" y="639536"/>
          <a:ext cx="1809721" cy="296582"/>
        </a:xfrm>
        <a:prstGeom prst="rect">
          <a:avLst/>
        </a:prstGeom>
        <a:noFill/>
        <a:ln w="1270">
          <a:noFill/>
          <a:prstDash val="sysDot"/>
          <a:miter lim="800000"/>
          <a:headEnd/>
          <a:tailEnd/>
        </a:ln>
      </xdr:spPr>
      <xdr:txBody>
        <a:bodyPr vertOverflow="clip" wrap="square" lIns="90000" tIns="72000" rIns="0" bIns="0" anchor="t" upright="1"/>
        <a:lstStyle/>
        <a:p>
          <a:pPr marL="0" indent="0" algn="l" rtl="0">
            <a:defRPr sz="1000"/>
          </a:pPr>
          <a:r>
            <a:rPr lang="es-ES" sz="1000" b="0" i="0" u="none" strike="noStrike">
              <a:solidFill>
                <a:schemeClr val="tx1"/>
              </a:solidFill>
              <a:latin typeface="BdE Neue Helvetica 45 Light" panose="020B0403020202020204" pitchFamily="34" charset="0"/>
              <a:ea typeface="Roboto" panose="02000000000000000000" pitchFamily="2" charset="0"/>
              <a:cs typeface="+mn-cs"/>
            </a:rPr>
            <a:t>Gráfico 3</a:t>
          </a:r>
        </a:p>
      </xdr:txBody>
    </xdr:sp>
    <xdr:clientData/>
  </xdr:twoCellAnchor>
  <xdr:twoCellAnchor>
    <xdr:from>
      <xdr:col>8</xdr:col>
      <xdr:colOff>689429</xdr:colOff>
      <xdr:row>4</xdr:row>
      <xdr:rowOff>103361</xdr:rowOff>
    </xdr:from>
    <xdr:to>
      <xdr:col>17</xdr:col>
      <xdr:colOff>439058</xdr:colOff>
      <xdr:row>6</xdr:row>
      <xdr:rowOff>55822</xdr:rowOff>
    </xdr:to>
    <xdr:sp macro="" textlink="">
      <xdr:nvSpPr>
        <xdr:cNvPr id="5" name="Rectángulo 4">
          <a:extLst>
            <a:ext uri="{FF2B5EF4-FFF2-40B4-BE49-F238E27FC236}">
              <a16:creationId xmlns:a16="http://schemas.microsoft.com/office/drawing/2014/main" id="{56DBA96B-CCCE-4A8E-9B32-A68504A03BE2}"/>
            </a:ext>
          </a:extLst>
        </xdr:cNvPr>
        <xdr:cNvSpPr/>
      </xdr:nvSpPr>
      <xdr:spPr>
        <a:xfrm>
          <a:off x="6785429" y="910718"/>
          <a:ext cx="6607629" cy="387890"/>
        </a:xfrm>
        <a:prstGeom prst="rect">
          <a:avLst/>
        </a:prstGeom>
        <a:noFill/>
        <a:ln w="6350">
          <a:noFill/>
          <a:prstDash val="sysDot"/>
          <a:miter lim="800000"/>
          <a:headEnd/>
          <a:tailEnd/>
        </a:ln>
      </xdr:spPr>
      <xdr:txBody>
        <a:bodyPr vertOverflow="clip" wrap="square" lIns="90000" tIns="0" rIns="0" bIns="0" anchor="t" upright="1"/>
        <a:lstStyle/>
        <a:p>
          <a:pPr marL="0" indent="0" algn="l" rtl="0">
            <a:defRPr sz="1000"/>
          </a:pPr>
          <a:r>
            <a:rPr lang="es-ES" sz="1000" b="1" i="0" u="none" strike="noStrike">
              <a:solidFill>
                <a:schemeClr val="tx1"/>
              </a:solidFill>
              <a:latin typeface="BdE Neue Helvetica 45 Light" panose="020B0403020202020204" pitchFamily="34" charset="0"/>
              <a:ea typeface="Roboto Medium" panose="02000000000000000000" pitchFamily="2" charset="0"/>
              <a:cs typeface="+mn-cs"/>
            </a:rPr>
            <a:t>Efecto estimado del programa Kit Digital sobre la proporción de activos intangibles</a:t>
          </a:r>
        </a:p>
      </xdr:txBody>
    </xdr:sp>
    <xdr:clientData/>
  </xdr:twoCellAnchor>
  <xdr:twoCellAnchor>
    <xdr:from>
      <xdr:col>9</xdr:col>
      <xdr:colOff>29307</xdr:colOff>
      <xdr:row>7</xdr:row>
      <xdr:rowOff>7326</xdr:rowOff>
    </xdr:from>
    <xdr:to>
      <xdr:col>16</xdr:col>
      <xdr:colOff>707307</xdr:colOff>
      <xdr:row>18</xdr:row>
      <xdr:rowOff>73440</xdr:rowOff>
    </xdr:to>
    <xdr:graphicFrame macro="">
      <xdr:nvGraphicFramePr>
        <xdr:cNvPr id="6" name="Gráfico 5">
          <a:extLst>
            <a:ext uri="{FF2B5EF4-FFF2-40B4-BE49-F238E27FC236}">
              <a16:creationId xmlns:a16="http://schemas.microsoft.com/office/drawing/2014/main" id="{4DE322AA-020B-4DF5-9F31-6B6019C1A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0.04097</cdr:x>
      <cdr:y>0.0583</cdr:y>
    </cdr:from>
    <cdr:to>
      <cdr:x>0.54045</cdr:x>
      <cdr:y>0.13587</cdr:y>
    </cdr:to>
    <cdr:sp macro="" textlink="">
      <cdr:nvSpPr>
        <cdr:cNvPr id="2" name="CuadroTexto 1">
          <a:extLst xmlns:a="http://schemas.openxmlformats.org/drawingml/2006/main">
            <a:ext uri="{FF2B5EF4-FFF2-40B4-BE49-F238E27FC236}">
              <a16:creationId xmlns:a16="http://schemas.microsoft.com/office/drawing/2014/main" id="{E4A11AC8-075C-8523-E5A1-8B48192681E4}"/>
            </a:ext>
          </a:extLst>
        </cdr:cNvPr>
        <cdr:cNvSpPr txBox="1"/>
      </cdr:nvSpPr>
      <cdr:spPr>
        <a:xfrm xmlns:a="http://schemas.openxmlformats.org/drawingml/2006/main">
          <a:off x="246183" y="134331"/>
          <a:ext cx="3001288" cy="1787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700" b="0" i="0" baseline="0">
              <a:effectLst/>
              <a:latin typeface="Roboto" panose="02000000000000000000" pitchFamily="2" charset="0"/>
              <a:ea typeface="Roboto" panose="02000000000000000000" pitchFamily="2" charset="0"/>
              <a:cs typeface="+mn-cs"/>
            </a:rPr>
            <a:t>puntos </a:t>
          </a:r>
          <a:r>
            <a:rPr lang="es-ES" sz="700" b="0" i="0" baseline="0">
              <a:effectLst/>
              <a:latin typeface="Roboto" panose="02000000000000000000" pitchFamily="2" charset="0"/>
              <a:ea typeface="Roboto" panose="02000000000000000000" pitchFamily="2" charset="0"/>
              <a:cs typeface="+mn-cs"/>
            </a:rPr>
            <a:t>porcentuales</a:t>
          </a:r>
          <a:endParaRPr lang="es-ES_tradnl" sz="700">
            <a:effectLst/>
            <a:latin typeface="Roboto" panose="02000000000000000000" pitchFamily="2" charset="0"/>
            <a:ea typeface="Roboto" panose="02000000000000000000" pitchFamily="2" charset="0"/>
          </a:endParaRPr>
        </a:p>
        <a:p xmlns:a="http://schemas.openxmlformats.org/drawingml/2006/main">
          <a:endParaRPr lang="es-ES_tradnl" sz="1100" kern="12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NSES\GRAFOUT\CONSEJO\Copia%20de%20Consejo_junio9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GENSES/GRAFOUT/CONSEJO/Copia%20de%20Consejo_junio99.xls" TargetMode="External"/><Relationship Id="rId1" Type="http://schemas.openxmlformats.org/officeDocument/2006/relationships/externalLinkPath" Target="/GENSES/GRAFOUT/CONSEJO/Copia%20de%20Consejo_junio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D2"/>
      <sheetName val="D3"/>
      <sheetName val="D4"/>
      <sheetName val="D5"/>
      <sheetName val="D6"/>
      <sheetName val="D7"/>
      <sheetName val="D8"/>
      <sheetName val="D9"/>
      <sheetName val="D10"/>
      <sheetName val="D11"/>
      <sheetName val="G_1"/>
      <sheetName val="G0"/>
      <sheetName val="G1"/>
      <sheetName val="G2"/>
      <sheetName val="G3"/>
      <sheetName val="G4"/>
      <sheetName val="G5"/>
      <sheetName val="G6"/>
      <sheetName val="G7"/>
      <sheetName val="G8"/>
      <sheetName val="G9"/>
      <sheetName val="G10"/>
      <sheetName val="G11"/>
      <sheetName val="GuiaHor"/>
      <sheetName val="IndiSinteticoEquipo_1996"/>
      <sheetName val="WS_AUX"/>
    </sheetNames>
    <sheetDataSet>
      <sheetData sheetId="0" refreshError="1">
        <row r="6">
          <cell r="V6" t="str">
            <v>Producto interior bruto</v>
          </cell>
          <cell r="AF6" t="str">
            <v>Producto interior bruto (5)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1"/>
      <sheetName val="D2"/>
      <sheetName val="D3"/>
      <sheetName val="D4"/>
      <sheetName val="D5"/>
      <sheetName val="D6"/>
      <sheetName val="D7"/>
      <sheetName val="D8"/>
      <sheetName val="D9"/>
      <sheetName val="D10"/>
      <sheetName val="D11"/>
      <sheetName val="G_1"/>
      <sheetName val="G0"/>
      <sheetName val="G1"/>
      <sheetName val="G2"/>
      <sheetName val="G3"/>
      <sheetName val="G4"/>
      <sheetName val="G5"/>
      <sheetName val="G6"/>
      <sheetName val="G7"/>
      <sheetName val="G8"/>
      <sheetName val="G9"/>
      <sheetName val="G10"/>
      <sheetName val="G11"/>
      <sheetName val="GuiaHor"/>
      <sheetName val="IndiSinteticoEquipo_1996"/>
      <sheetName val="WS_AUX"/>
    </sheetNames>
    <sheetDataSet>
      <sheetData sheetId="0" refreshError="1">
        <row r="6">
          <cell r="V6" t="str">
            <v>Producto interior bruto</v>
          </cell>
          <cell r="AF6" t="str">
            <v>Producto interior bruto (5)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theme/theme1.xml><?xml version="1.0" encoding="utf-8"?>
<a:theme xmlns:a="http://schemas.openxmlformats.org/drawingml/2006/main" name="Office Theme">
  <a:themeElements>
    <a:clrScheme name="Colores 2026_2">
      <a:dk1>
        <a:sysClr val="windowText" lastClr="000000"/>
      </a:dk1>
      <a:lt1>
        <a:sysClr val="window" lastClr="FFFFFF"/>
      </a:lt1>
      <a:dk2>
        <a:srgbClr val="EF9011"/>
      </a:dk2>
      <a:lt2>
        <a:srgbClr val="7DB749"/>
      </a:lt2>
      <a:accent1>
        <a:srgbClr val="FFDB93"/>
      </a:accent1>
      <a:accent2>
        <a:srgbClr val="AECEF4"/>
      </a:accent2>
      <a:accent3>
        <a:srgbClr val="FFC000"/>
      </a:accent3>
      <a:accent4>
        <a:srgbClr val="1D5191"/>
      </a:accent4>
      <a:accent5>
        <a:srgbClr val="C30FBA"/>
      </a:accent5>
      <a:accent6>
        <a:srgbClr val="7F3C2F"/>
      </a:accent6>
      <a:hlink>
        <a:srgbClr val="000000"/>
      </a:hlink>
      <a:folHlink>
        <a:srgbClr val="00000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4EC7-D369-4654-8A4B-ED59ECA7F94A}">
  <sheetPr>
    <tabColor rgb="FFFFFF00"/>
  </sheetPr>
  <dimension ref="A1:V12"/>
  <sheetViews>
    <sheetView showGridLines="0" zoomScale="115" zoomScaleNormal="115" workbookViewId="0">
      <selection activeCell="L23" sqref="L23"/>
    </sheetView>
  </sheetViews>
  <sheetFormatPr baseColWidth="10" defaultColWidth="5.5703125" defaultRowHeight="11.1" customHeight="1" x14ac:dyDescent="0.2"/>
  <cols>
    <col min="1" max="13" width="5.5703125" style="19"/>
    <col min="14" max="14" width="5.5703125" style="19" customWidth="1"/>
    <col min="15" max="15" width="6.42578125" style="19" customWidth="1"/>
    <col min="16" max="16" width="5.5703125" style="19" customWidth="1"/>
    <col min="17" max="16384" width="5.5703125" style="19"/>
  </cols>
  <sheetData>
    <row r="1" spans="1:22" ht="11.1" customHeight="1" x14ac:dyDescent="0.25">
      <c r="A1" s="18"/>
      <c r="H1" s="20"/>
    </row>
    <row r="2" spans="1:22" ht="11.1" customHeight="1" x14ac:dyDescent="0.25">
      <c r="H2" s="20"/>
    </row>
    <row r="3" spans="1:22" ht="11.1" customHeight="1" x14ac:dyDescent="0.25">
      <c r="H3" s="20"/>
    </row>
    <row r="4" spans="1:22" ht="29.25" customHeight="1" x14ac:dyDescent="0.2">
      <c r="T4" s="21"/>
    </row>
    <row r="12" spans="1:22" ht="11.1" customHeight="1" x14ac:dyDescent="0.25">
      <c r="V12" s="20"/>
    </row>
  </sheetData>
  <pageMargins left="0.74803149606299213" right="0" top="0.6692913385826772" bottom="0" header="0" footer="0"/>
  <pageSetup paperSize="9" pageOrder="overThenDown"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7DB7-E034-4481-8E98-45FE6C350BA8}">
  <sheetPr>
    <tabColor rgb="FFFFFF00"/>
  </sheetPr>
  <dimension ref="A1:V27"/>
  <sheetViews>
    <sheetView showGridLines="0" tabSelected="1" zoomScale="160" zoomScaleNormal="160" workbookViewId="0">
      <selection activeCell="H29" sqref="H29"/>
    </sheetView>
  </sheetViews>
  <sheetFormatPr baseColWidth="10" defaultColWidth="5.5703125" defaultRowHeight="11.1" customHeight="1" x14ac:dyDescent="0.2"/>
  <cols>
    <col min="1" max="13" width="5.5703125" style="19"/>
    <col min="14" max="14" width="5.5703125" style="19" customWidth="1"/>
    <col min="15" max="15" width="6.42578125" style="19" customWidth="1"/>
    <col min="16" max="16" width="5.5703125" style="19" customWidth="1"/>
    <col min="17" max="16384" width="5.5703125" style="19"/>
  </cols>
  <sheetData>
    <row r="1" spans="1:22" ht="11.1" customHeight="1" x14ac:dyDescent="0.25">
      <c r="A1" s="18"/>
      <c r="H1" s="20"/>
    </row>
    <row r="2" spans="1:22" ht="11.1" customHeight="1" x14ac:dyDescent="0.25">
      <c r="H2" s="20"/>
    </row>
    <row r="3" spans="1:22" ht="11.1" customHeight="1" x14ac:dyDescent="0.25">
      <c r="H3" s="20"/>
    </row>
    <row r="4" spans="1:22" ht="29.25" customHeight="1" x14ac:dyDescent="0.2">
      <c r="T4" s="21"/>
    </row>
    <row r="12" spans="1:22" ht="11.1" customHeight="1" x14ac:dyDescent="0.25">
      <c r="V12" s="20"/>
    </row>
    <row r="27" spans="9:9" ht="11.1" customHeight="1" x14ac:dyDescent="0.2">
      <c r="I27" s="22"/>
    </row>
  </sheetData>
  <pageMargins left="0.74803149606299213" right="0" top="0.6692913385826772" bottom="0" header="0" footer="0"/>
  <pageSetup paperSize="9" pageOrder="overThenDown"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6001-2FAC-4932-A122-77D918974794}">
  <sheetPr>
    <tabColor rgb="FFFFFF00"/>
  </sheetPr>
  <dimension ref="B1:G32"/>
  <sheetViews>
    <sheetView showGridLines="0" zoomScale="160" zoomScaleNormal="160" workbookViewId="0">
      <selection activeCell="B10" sqref="B10"/>
    </sheetView>
  </sheetViews>
  <sheetFormatPr baseColWidth="10" defaultColWidth="10" defaultRowHeight="11.1" customHeight="1" x14ac:dyDescent="0.25"/>
  <cols>
    <col min="1" max="1" width="10" style="6"/>
    <col min="2" max="2" width="22.85546875" style="6" customWidth="1"/>
    <col min="3" max="3" width="10.5703125" style="6" customWidth="1"/>
    <col min="4" max="4" width="12.42578125" style="6" customWidth="1"/>
    <col min="5" max="7" width="10.5703125" style="6" customWidth="1"/>
    <col min="8" max="8" width="1" style="6" customWidth="1"/>
    <col min="9" max="16384" width="10" style="6"/>
  </cols>
  <sheetData>
    <row r="1" spans="2:7" ht="13.5" customHeight="1" x14ac:dyDescent="0.25"/>
    <row r="2" spans="2:7" ht="45.95" customHeight="1" x14ac:dyDescent="0.25">
      <c r="C2" s="24"/>
      <c r="D2" s="24"/>
      <c r="E2" s="24"/>
      <c r="F2" s="24"/>
      <c r="G2" s="24"/>
    </row>
    <row r="3" spans="2:7" ht="14.1" hidden="1" customHeight="1" x14ac:dyDescent="0.25">
      <c r="C3" s="42" t="s">
        <v>31</v>
      </c>
      <c r="D3" s="42"/>
      <c r="E3" s="42"/>
      <c r="F3" s="10"/>
      <c r="G3" s="10" t="s">
        <v>31</v>
      </c>
    </row>
    <row r="4" spans="2:7" s="10" customFormat="1" ht="32.450000000000003" customHeight="1" x14ac:dyDescent="0.25">
      <c r="B4" s="29" t="s">
        <v>0</v>
      </c>
      <c r="C4" s="30" t="s">
        <v>30</v>
      </c>
      <c r="D4" s="30" t="s">
        <v>43</v>
      </c>
      <c r="E4" s="30" t="s">
        <v>44</v>
      </c>
      <c r="F4" s="30" t="s">
        <v>41</v>
      </c>
      <c r="G4" s="31" t="s">
        <v>42</v>
      </c>
    </row>
    <row r="5" spans="2:7" ht="14.1" customHeight="1" x14ac:dyDescent="0.25">
      <c r="B5" s="27" t="s">
        <v>39</v>
      </c>
      <c r="C5" s="28">
        <v>5.69</v>
      </c>
      <c r="D5" s="28">
        <v>5.37</v>
      </c>
      <c r="E5" s="28">
        <v>5.67</v>
      </c>
      <c r="F5" s="28">
        <v>0.3</v>
      </c>
      <c r="G5" s="28">
        <v>0.02</v>
      </c>
    </row>
    <row r="6" spans="2:7" ht="14.1" customHeight="1" x14ac:dyDescent="0.25">
      <c r="B6" s="25" t="s">
        <v>37</v>
      </c>
      <c r="C6" s="26">
        <v>6.65</v>
      </c>
      <c r="D6" s="26">
        <v>6.46</v>
      </c>
      <c r="E6" s="26">
        <v>6.65</v>
      </c>
      <c r="F6" s="26">
        <v>0.2</v>
      </c>
      <c r="G6" s="26">
        <v>0</v>
      </c>
    </row>
    <row r="7" spans="2:7" ht="14.1" customHeight="1" x14ac:dyDescent="0.25">
      <c r="B7" s="25" t="s">
        <v>38</v>
      </c>
      <c r="C7" s="26">
        <v>1.99</v>
      </c>
      <c r="D7" s="26">
        <v>1.7</v>
      </c>
      <c r="E7" s="26">
        <v>2</v>
      </c>
      <c r="F7" s="26">
        <v>0.3</v>
      </c>
      <c r="G7" s="26">
        <v>0</v>
      </c>
    </row>
    <row r="8" spans="2:7" ht="14.1" customHeight="1" x14ac:dyDescent="0.25">
      <c r="B8" s="25" t="s">
        <v>21</v>
      </c>
      <c r="C8" s="26">
        <v>0.2</v>
      </c>
      <c r="D8" s="26">
        <v>0.19</v>
      </c>
      <c r="E8" s="26">
        <v>0.19</v>
      </c>
      <c r="F8" s="26">
        <v>0</v>
      </c>
      <c r="G8" s="26">
        <v>0</v>
      </c>
    </row>
    <row r="9" spans="2:7" ht="14.1" customHeight="1" x14ac:dyDescent="0.25">
      <c r="B9" s="25" t="s">
        <v>22</v>
      </c>
      <c r="C9" s="26">
        <v>21.3</v>
      </c>
      <c r="D9" s="26">
        <v>20.39</v>
      </c>
      <c r="E9" s="26">
        <v>21.55</v>
      </c>
      <c r="F9" s="26">
        <v>0.9</v>
      </c>
      <c r="G9" s="26">
        <v>0</v>
      </c>
    </row>
    <row r="10" spans="2:7" ht="14.1" customHeight="1" x14ac:dyDescent="0.25">
      <c r="B10" s="32" t="s">
        <v>40</v>
      </c>
      <c r="C10" s="33">
        <v>42818</v>
      </c>
      <c r="D10" s="33">
        <v>14909</v>
      </c>
      <c r="E10" s="33">
        <v>14909</v>
      </c>
      <c r="F10" s="33"/>
      <c r="G10" s="34"/>
    </row>
    <row r="11" spans="2:7" ht="1.5" hidden="1" customHeight="1" x14ac:dyDescent="0.25">
      <c r="C11" s="23"/>
      <c r="D11" s="23"/>
      <c r="E11" s="23"/>
      <c r="F11" s="23"/>
      <c r="G11" s="23"/>
    </row>
    <row r="12" spans="2:7" s="7" customFormat="1" ht="14.1" customHeight="1" x14ac:dyDescent="0.25">
      <c r="B12" s="35"/>
      <c r="C12" s="35"/>
      <c r="D12" s="35"/>
      <c r="E12" s="36"/>
      <c r="F12" s="36"/>
      <c r="G12" s="36"/>
    </row>
    <row r="13" spans="2:7" s="7" customFormat="1" ht="14.1" customHeight="1" x14ac:dyDescent="0.25">
      <c r="E13" s="9"/>
      <c r="F13" s="9"/>
      <c r="G13" s="9"/>
    </row>
    <row r="14" spans="2:7" s="7" customFormat="1" ht="14.1" customHeight="1" x14ac:dyDescent="0.25">
      <c r="E14" s="9"/>
      <c r="F14" s="9"/>
      <c r="G14" s="9"/>
    </row>
    <row r="15" spans="2:7" s="7" customFormat="1" ht="14.1" customHeight="1" x14ac:dyDescent="0.25">
      <c r="E15" s="9"/>
      <c r="F15" s="9"/>
      <c r="G15" s="9"/>
    </row>
    <row r="16" spans="2:7" s="7" customFormat="1" ht="11.25" customHeight="1" x14ac:dyDescent="0.25"/>
    <row r="17" spans="2:7" s="7" customFormat="1" ht="11.25" customHeight="1" x14ac:dyDescent="0.25">
      <c r="B17" s="8"/>
      <c r="C17" s="8"/>
      <c r="D17" s="8"/>
      <c r="E17" s="8"/>
      <c r="F17" s="8"/>
      <c r="G17" s="8"/>
    </row>
    <row r="18" spans="2:7" s="7" customFormat="1" ht="11.25" customHeight="1" x14ac:dyDescent="0.25"/>
    <row r="19" spans="2:7" s="7" customFormat="1" ht="11.25" customHeight="1" x14ac:dyDescent="0.25"/>
    <row r="20" spans="2:7" s="7" customFormat="1" ht="4.5" customHeight="1" x14ac:dyDescent="0.25"/>
    <row r="21" spans="2:7" s="7" customFormat="1" ht="11.25" customHeight="1" x14ac:dyDescent="0.25"/>
    <row r="22" spans="2:7" s="7" customFormat="1" ht="11.25" customHeight="1" x14ac:dyDescent="0.25"/>
    <row r="23" spans="2:7" s="7" customFormat="1" ht="11.25" customHeight="1" x14ac:dyDescent="0.25"/>
    <row r="24" spans="2:7" s="7" customFormat="1" ht="11.25" customHeight="1" x14ac:dyDescent="0.25"/>
    <row r="25" spans="2:7" s="7" customFormat="1" ht="4.5" customHeight="1" x14ac:dyDescent="0.25"/>
    <row r="26" spans="2:7" s="7" customFormat="1" ht="11.25" customHeight="1" x14ac:dyDescent="0.25"/>
    <row r="27" spans="2:7" s="7" customFormat="1" ht="11.25" customHeight="1" x14ac:dyDescent="0.25"/>
    <row r="28" spans="2:7" s="7" customFormat="1" ht="11.25" customHeight="1" x14ac:dyDescent="0.25"/>
    <row r="29" spans="2:7" s="7" customFormat="1" ht="11.25" customHeight="1" x14ac:dyDescent="0.25"/>
    <row r="30" spans="2:7" s="7" customFormat="1" ht="11.25" customHeight="1" x14ac:dyDescent="0.25"/>
    <row r="31" spans="2:7" s="7" customFormat="1" ht="11.25" customHeight="1" x14ac:dyDescent="0.25"/>
    <row r="32" spans="2:7" s="7" customFormat="1" ht="14.25" customHeight="1" x14ac:dyDescent="0.25"/>
  </sheetData>
  <mergeCells count="1">
    <mergeCell ref="C3:E3"/>
  </mergeCells>
  <pageMargins left="0.74803149606299213" right="0" top="0.6692913385826772" bottom="0" header="0" footer="0"/>
  <pageSetup paperSize="9" orientation="portrait" r:id="rId1"/>
  <headerFooter alignWithMargins="0"/>
  <customProperties>
    <customPr name="IBERIA.Market.Data.Providers.Request.Excel.Sheet"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24BC-1C9E-48DD-8FBA-02137DD8644A}">
  <sheetPr>
    <tabColor rgb="FFFFFF00"/>
  </sheetPr>
  <dimension ref="B1:E31"/>
  <sheetViews>
    <sheetView showGridLines="0" zoomScale="190" zoomScaleNormal="190" workbookViewId="0">
      <selection activeCell="B4" sqref="B4"/>
    </sheetView>
  </sheetViews>
  <sheetFormatPr baseColWidth="10" defaultColWidth="10" defaultRowHeight="11.1" customHeight="1" x14ac:dyDescent="0.25"/>
  <cols>
    <col min="1" max="1" width="10" style="6"/>
    <col min="2" max="2" width="22.85546875" style="6" customWidth="1"/>
    <col min="3" max="5" width="10.5703125" style="6" customWidth="1"/>
    <col min="6" max="6" width="1" style="6" customWidth="1"/>
    <col min="7" max="16384" width="10" style="6"/>
  </cols>
  <sheetData>
    <row r="1" spans="2:5" ht="13.5" customHeight="1" x14ac:dyDescent="0.25"/>
    <row r="2" spans="2:5" ht="45.95" customHeight="1" x14ac:dyDescent="0.25"/>
    <row r="3" spans="2:5" ht="14.1" hidden="1" customHeight="1" x14ac:dyDescent="0.25">
      <c r="C3" s="43" t="s">
        <v>31</v>
      </c>
      <c r="D3" s="43"/>
      <c r="E3" s="11" t="s">
        <v>31</v>
      </c>
    </row>
    <row r="4" spans="2:5" s="10" customFormat="1" ht="23.1" customHeight="1" x14ac:dyDescent="0.25">
      <c r="B4" s="39" t="s">
        <v>36</v>
      </c>
      <c r="C4" s="40" t="s">
        <v>35</v>
      </c>
      <c r="D4" s="40" t="s">
        <v>2</v>
      </c>
      <c r="E4" s="40"/>
    </row>
    <row r="5" spans="2:5" ht="14.1" customHeight="1" x14ac:dyDescent="0.25">
      <c r="B5" s="27" t="s">
        <v>24</v>
      </c>
      <c r="C5" s="38" t="s">
        <v>34</v>
      </c>
      <c r="D5" s="38">
        <v>4.7102999999999997E-3</v>
      </c>
      <c r="E5" s="28"/>
    </row>
    <row r="6" spans="2:5" ht="14.1" customHeight="1" x14ac:dyDescent="0.25">
      <c r="B6" s="25" t="s">
        <v>25</v>
      </c>
      <c r="C6" s="37" t="s">
        <v>32</v>
      </c>
      <c r="D6" s="37">
        <v>5.3730000000000002E-3</v>
      </c>
      <c r="E6" s="26"/>
    </row>
    <row r="7" spans="2:5" ht="14.1" customHeight="1" x14ac:dyDescent="0.25">
      <c r="B7" s="25" t="s">
        <v>26</v>
      </c>
      <c r="C7" s="37" t="s">
        <v>32</v>
      </c>
      <c r="D7" s="37">
        <v>5.1847000000000004E-3</v>
      </c>
      <c r="E7" s="26"/>
    </row>
    <row r="8" spans="2:5" ht="14.1" customHeight="1" x14ac:dyDescent="0.25">
      <c r="B8" s="25" t="s">
        <v>27</v>
      </c>
      <c r="C8" s="37" t="s">
        <v>33</v>
      </c>
      <c r="D8" s="37">
        <v>4.6357999999999998E-3</v>
      </c>
      <c r="E8" s="26"/>
    </row>
    <row r="9" spans="2:5" ht="14.1" customHeight="1" x14ac:dyDescent="0.25">
      <c r="B9" s="25" t="s">
        <v>28</v>
      </c>
      <c r="C9" s="37" t="s">
        <v>33</v>
      </c>
      <c r="D9" s="37">
        <v>4.8976999999999996E-3</v>
      </c>
      <c r="E9" s="26"/>
    </row>
    <row r="10" spans="2:5" ht="14.1" customHeight="1" x14ac:dyDescent="0.25">
      <c r="B10" s="32" t="s">
        <v>29</v>
      </c>
      <c r="C10" s="41" t="s">
        <v>32</v>
      </c>
      <c r="D10" s="41">
        <v>4.9288999999999999E-3</v>
      </c>
      <c r="E10" s="34"/>
    </row>
    <row r="11" spans="2:5" s="7" customFormat="1" ht="14.1" customHeight="1" x14ac:dyDescent="0.25">
      <c r="B11" s="6"/>
      <c r="D11" s="9"/>
      <c r="E11" s="9"/>
    </row>
    <row r="12" spans="2:5" s="7" customFormat="1" ht="14.1" customHeight="1" x14ac:dyDescent="0.25">
      <c r="D12" s="9"/>
      <c r="E12" s="9"/>
    </row>
    <row r="13" spans="2:5" s="7" customFormat="1" ht="14.1" customHeight="1" x14ac:dyDescent="0.25">
      <c r="D13" s="9"/>
      <c r="E13" s="9"/>
    </row>
    <row r="14" spans="2:5" s="7" customFormat="1" ht="14.1" customHeight="1" x14ac:dyDescent="0.25">
      <c r="D14" s="9"/>
      <c r="E14" s="9"/>
    </row>
    <row r="15" spans="2:5" s="7" customFormat="1" ht="11.25" customHeight="1" x14ac:dyDescent="0.25"/>
    <row r="16" spans="2:5" s="7" customFormat="1" ht="11.25" customHeight="1" x14ac:dyDescent="0.25">
      <c r="B16" s="8"/>
      <c r="C16" s="8"/>
      <c r="D16" s="8"/>
      <c r="E16" s="8"/>
    </row>
    <row r="17" s="7" customFormat="1" ht="11.25" customHeight="1" x14ac:dyDescent="0.25"/>
    <row r="18" s="7" customFormat="1" ht="11.25" customHeight="1" x14ac:dyDescent="0.25"/>
    <row r="19" s="7" customFormat="1" ht="4.5" customHeight="1" x14ac:dyDescent="0.25"/>
    <row r="20" s="7" customFormat="1" ht="11.25" customHeight="1" x14ac:dyDescent="0.25"/>
    <row r="21" s="7" customFormat="1" ht="11.25" customHeight="1" x14ac:dyDescent="0.25"/>
    <row r="22" s="7" customFormat="1" ht="11.25" customHeight="1" x14ac:dyDescent="0.25"/>
    <row r="23" s="7" customFormat="1" ht="11.25" customHeight="1" x14ac:dyDescent="0.25"/>
    <row r="24" s="7" customFormat="1" ht="4.5" customHeight="1" x14ac:dyDescent="0.25"/>
    <row r="25" s="7" customFormat="1" ht="11.25" customHeight="1" x14ac:dyDescent="0.25"/>
    <row r="26" s="7" customFormat="1" ht="11.25" customHeight="1" x14ac:dyDescent="0.25"/>
    <row r="27" s="7" customFormat="1" ht="11.25" customHeight="1" x14ac:dyDescent="0.25"/>
    <row r="28" s="7" customFormat="1" ht="11.25" customHeight="1" x14ac:dyDescent="0.25"/>
    <row r="29" s="7" customFormat="1" ht="11.25" customHeight="1" x14ac:dyDescent="0.25"/>
    <row r="30" s="7" customFormat="1" ht="11.25" customHeight="1" x14ac:dyDescent="0.25"/>
    <row r="31" s="7" customFormat="1" ht="14.25" customHeight="1" x14ac:dyDescent="0.25"/>
  </sheetData>
  <mergeCells count="1">
    <mergeCell ref="C3:D3"/>
  </mergeCells>
  <pageMargins left="0.74803149606299213" right="0" top="0.6692913385826772" bottom="0" header="0" footer="0"/>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E5FC-AAD9-4BEF-A703-EF85CC70FD72}">
  <dimension ref="A1:I25"/>
  <sheetViews>
    <sheetView zoomScale="85" zoomScaleNormal="85" workbookViewId="0">
      <selection activeCell="F16" sqref="F16"/>
    </sheetView>
  </sheetViews>
  <sheetFormatPr baseColWidth="10" defaultRowHeight="15" x14ac:dyDescent="0.25"/>
  <sheetData>
    <row r="1" spans="1:9" x14ac:dyDescent="0.25">
      <c r="A1" s="3" t="s">
        <v>8</v>
      </c>
      <c r="B1" s="3" t="s">
        <v>9</v>
      </c>
      <c r="C1" s="3" t="s">
        <v>14</v>
      </c>
      <c r="D1" s="3" t="s">
        <v>15</v>
      </c>
      <c r="E1" s="3"/>
      <c r="F1" s="3" t="s">
        <v>10</v>
      </c>
      <c r="G1" s="3" t="s">
        <v>11</v>
      </c>
      <c r="H1" s="3" t="s">
        <v>12</v>
      </c>
      <c r="I1" s="2" t="s">
        <v>13</v>
      </c>
    </row>
    <row r="2" spans="1:9" x14ac:dyDescent="0.25">
      <c r="A2">
        <v>2014</v>
      </c>
      <c r="B2">
        <v>0</v>
      </c>
      <c r="C2">
        <v>1.0357179999999999</v>
      </c>
      <c r="D2">
        <v>1.0353760000000001</v>
      </c>
      <c r="F2">
        <v>4.8653870000000001</v>
      </c>
      <c r="G2">
        <v>5.1397399999999998</v>
      </c>
      <c r="H2">
        <v>1.4826220000000001</v>
      </c>
      <c r="I2">
        <v>1.690758</v>
      </c>
    </row>
    <row r="3" spans="1:9" x14ac:dyDescent="0.25">
      <c r="A3">
        <v>2015</v>
      </c>
      <c r="B3">
        <v>0</v>
      </c>
      <c r="C3">
        <v>1.072403</v>
      </c>
      <c r="D3">
        <v>1.0743959999999999</v>
      </c>
      <c r="F3">
        <v>4.9413169999999997</v>
      </c>
      <c r="G3">
        <v>5.2322259999999998</v>
      </c>
      <c r="H3">
        <v>1.535407</v>
      </c>
      <c r="I3">
        <v>1.7594529999999999</v>
      </c>
    </row>
    <row r="4" spans="1:9" x14ac:dyDescent="0.25">
      <c r="A4">
        <v>2016</v>
      </c>
      <c r="B4">
        <v>0</v>
      </c>
      <c r="C4">
        <v>1.099234</v>
      </c>
      <c r="D4">
        <v>1.0992230000000001</v>
      </c>
      <c r="F4">
        <v>5.0404850000000003</v>
      </c>
      <c r="G4">
        <v>5.3386519999999997</v>
      </c>
      <c r="H4">
        <v>1.5963830000000001</v>
      </c>
      <c r="I4">
        <v>1.8275159999999999</v>
      </c>
    </row>
    <row r="5" spans="1:9" x14ac:dyDescent="0.25">
      <c r="A5">
        <v>2017</v>
      </c>
      <c r="B5">
        <v>0</v>
      </c>
      <c r="C5">
        <v>1.1181019999999999</v>
      </c>
      <c r="D5">
        <v>1.1210629999999999</v>
      </c>
      <c r="F5">
        <v>5.113092</v>
      </c>
      <c r="G5">
        <v>5.4227790000000002</v>
      </c>
      <c r="H5">
        <v>1.647235</v>
      </c>
      <c r="I5">
        <v>1.880209</v>
      </c>
    </row>
    <row r="6" spans="1:9" x14ac:dyDescent="0.25">
      <c r="A6">
        <v>2018</v>
      </c>
      <c r="B6">
        <v>0</v>
      </c>
      <c r="C6">
        <v>1.1338820000000001</v>
      </c>
      <c r="D6">
        <v>1.1310830000000001</v>
      </c>
      <c r="F6">
        <v>5.191281</v>
      </c>
      <c r="G6">
        <v>5.5120079999999998</v>
      </c>
      <c r="H6">
        <v>1.6833119999999999</v>
      </c>
      <c r="I6">
        <v>1.9364520000000001</v>
      </c>
    </row>
    <row r="7" spans="1:9" x14ac:dyDescent="0.25">
      <c r="A7">
        <v>2019</v>
      </c>
      <c r="B7">
        <v>0</v>
      </c>
      <c r="C7">
        <v>1.1312040000000001</v>
      </c>
      <c r="D7">
        <v>1.138312</v>
      </c>
      <c r="F7">
        <v>5.2182029999999999</v>
      </c>
      <c r="G7">
        <v>5.5666830000000003</v>
      </c>
      <c r="H7">
        <v>1.702091</v>
      </c>
      <c r="I7">
        <v>1.971103</v>
      </c>
    </row>
    <row r="8" spans="1:9" x14ac:dyDescent="0.25">
      <c r="A8">
        <v>2020</v>
      </c>
      <c r="B8">
        <v>0</v>
      </c>
      <c r="C8">
        <v>1.028732</v>
      </c>
      <c r="D8">
        <v>1.0349299999999999</v>
      </c>
      <c r="F8">
        <v>5.0418979999999998</v>
      </c>
      <c r="G8">
        <v>5.3959669999999997</v>
      </c>
      <c r="H8">
        <v>1.6065970000000001</v>
      </c>
      <c r="I8">
        <v>1.8883890000000001</v>
      </c>
    </row>
    <row r="9" spans="1:9" x14ac:dyDescent="0.25">
      <c r="A9">
        <v>2021</v>
      </c>
      <c r="B9">
        <v>0</v>
      </c>
      <c r="C9">
        <v>1.158358</v>
      </c>
      <c r="D9">
        <v>1.168528</v>
      </c>
      <c r="F9">
        <v>5.2158470000000001</v>
      </c>
      <c r="G9">
        <v>5.6070669999999998</v>
      </c>
      <c r="H9">
        <v>1.666334</v>
      </c>
      <c r="I9">
        <v>1.9693879999999999</v>
      </c>
    </row>
    <row r="10" spans="1:9" x14ac:dyDescent="0.25">
      <c r="A10">
        <v>2022</v>
      </c>
      <c r="B10">
        <v>0</v>
      </c>
      <c r="C10">
        <v>1.1676679999999999</v>
      </c>
      <c r="D10">
        <v>1.1811020000000001</v>
      </c>
      <c r="F10">
        <v>5.2897449999999999</v>
      </c>
      <c r="G10">
        <v>5.717187</v>
      </c>
      <c r="H10">
        <v>1.708998</v>
      </c>
      <c r="I10">
        <v>2.0323009999999999</v>
      </c>
    </row>
    <row r="11" spans="1:9" x14ac:dyDescent="0.25">
      <c r="A11">
        <v>2023</v>
      </c>
      <c r="B11">
        <v>0</v>
      </c>
      <c r="C11">
        <v>1.182104</v>
      </c>
      <c r="D11">
        <v>1.2018880000000001</v>
      </c>
      <c r="F11">
        <v>5.3546550000000002</v>
      </c>
      <c r="G11">
        <v>5.8002339999999997</v>
      </c>
      <c r="H11">
        <v>1.6889940000000001</v>
      </c>
      <c r="I11">
        <v>2.0437289999999999</v>
      </c>
    </row>
    <row r="12" spans="1:9" x14ac:dyDescent="0.25">
      <c r="A12">
        <v>2024</v>
      </c>
      <c r="B12">
        <v>0</v>
      </c>
      <c r="C12">
        <v>1.1947760000000001</v>
      </c>
      <c r="D12">
        <v>1.2093689999999999</v>
      </c>
      <c r="F12">
        <v>5.3934829999999998</v>
      </c>
      <c r="G12">
        <v>5.8290600000000001</v>
      </c>
      <c r="H12">
        <v>1.672614</v>
      </c>
      <c r="I12">
        <v>2.026173</v>
      </c>
    </row>
    <row r="16" spans="1:9" x14ac:dyDescent="0.25">
      <c r="C16">
        <f>+C3-C2</f>
        <v>3.6685000000000079E-2</v>
      </c>
      <c r="D16">
        <f>+D3-D2</f>
        <v>3.9019999999999833E-2</v>
      </c>
    </row>
    <row r="17" spans="3:4" x14ac:dyDescent="0.25">
      <c r="C17">
        <f t="shared" ref="C17:D17" si="0">+C4-C3</f>
        <v>2.6831000000000049E-2</v>
      </c>
      <c r="D17">
        <f t="shared" si="0"/>
        <v>2.4827000000000155E-2</v>
      </c>
    </row>
    <row r="18" spans="3:4" x14ac:dyDescent="0.25">
      <c r="C18">
        <f t="shared" ref="C18:D18" si="1">+C5-C4</f>
        <v>1.8867999999999885E-2</v>
      </c>
      <c r="D18">
        <f t="shared" si="1"/>
        <v>2.183999999999986E-2</v>
      </c>
    </row>
    <row r="19" spans="3:4" x14ac:dyDescent="0.25">
      <c r="C19">
        <f t="shared" ref="C19:D19" si="2">+C6-C5</f>
        <v>1.5780000000000127E-2</v>
      </c>
      <c r="D19">
        <f t="shared" si="2"/>
        <v>1.002000000000014E-2</v>
      </c>
    </row>
    <row r="20" spans="3:4" x14ac:dyDescent="0.25">
      <c r="C20">
        <f t="shared" ref="C20:D20" si="3">+C7-C6</f>
        <v>-2.6779999999999582E-3</v>
      </c>
      <c r="D20">
        <f t="shared" si="3"/>
        <v>7.2289999999999299E-3</v>
      </c>
    </row>
    <row r="21" spans="3:4" x14ac:dyDescent="0.25">
      <c r="C21">
        <f t="shared" ref="C21:D21" si="4">+C8-C7</f>
        <v>-0.10247200000000012</v>
      </c>
      <c r="D21">
        <f t="shared" si="4"/>
        <v>-0.10338200000000008</v>
      </c>
    </row>
    <row r="22" spans="3:4" x14ac:dyDescent="0.25">
      <c r="C22">
        <f t="shared" ref="C22:D22" si="5">+C9-C8</f>
        <v>0.12962600000000002</v>
      </c>
      <c r="D22">
        <f t="shared" si="5"/>
        <v>0.13359800000000011</v>
      </c>
    </row>
    <row r="23" spans="3:4" x14ac:dyDescent="0.25">
      <c r="C23">
        <f>+C10-C9</f>
        <v>9.3099999999999294E-3</v>
      </c>
      <c r="D23">
        <f t="shared" ref="D23" si="6">+D10-D9</f>
        <v>1.2574000000000085E-2</v>
      </c>
    </row>
    <row r="24" spans="3:4" x14ac:dyDescent="0.25">
      <c r="C24">
        <f t="shared" ref="C24:D24" si="7">+C11-C10</f>
        <v>1.4436000000000115E-2</v>
      </c>
      <c r="D24">
        <f t="shared" si="7"/>
        <v>2.0785999999999971E-2</v>
      </c>
    </row>
    <row r="25" spans="3:4" x14ac:dyDescent="0.25">
      <c r="C25">
        <f t="shared" ref="C25:D25" si="8">+C12-C11</f>
        <v>1.2672000000000017E-2</v>
      </c>
      <c r="D25">
        <f t="shared" si="8"/>
        <v>7.4809999999998489E-3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zoomScaleNormal="100" workbookViewId="0">
      <selection activeCell="E33" sqref="E33"/>
    </sheetView>
  </sheetViews>
  <sheetFormatPr baseColWidth="10" defaultColWidth="8.7109375" defaultRowHeight="15" x14ac:dyDescent="0.25"/>
  <cols>
    <col min="1" max="16384" width="8.7109375" style="13"/>
  </cols>
  <sheetData>
    <row r="1" spans="1:7" ht="66.599999999999994" customHeight="1" thickBot="1" x14ac:dyDescent="0.3">
      <c r="A1" s="12" t="s">
        <v>0</v>
      </c>
      <c r="B1" s="12" t="s">
        <v>1</v>
      </c>
      <c r="C1" s="12" t="s">
        <v>2</v>
      </c>
      <c r="D1" s="12" t="s">
        <v>3</v>
      </c>
      <c r="E1" s="12" t="s">
        <v>4</v>
      </c>
      <c r="F1" s="44" t="s">
        <v>16</v>
      </c>
      <c r="G1" s="45"/>
    </row>
    <row r="2" spans="1:7" ht="17.25" thickBot="1" x14ac:dyDescent="0.3">
      <c r="A2" s="14">
        <v>-8</v>
      </c>
      <c r="B2" s="14">
        <v>-6.2113000000000003E-3</v>
      </c>
      <c r="C2" s="14">
        <v>4.4530999999999998E-3</v>
      </c>
      <c r="D2" s="14">
        <v>-1.39</v>
      </c>
      <c r="E2" s="14">
        <v>0.16300000000000001</v>
      </c>
      <c r="F2" s="14">
        <v>-1.49394E-2</v>
      </c>
      <c r="G2" s="14">
        <v>2.5168999999999999E-3</v>
      </c>
    </row>
    <row r="3" spans="1:7" ht="17.25" thickBot="1" x14ac:dyDescent="0.3">
      <c r="A3" s="14">
        <v>-7</v>
      </c>
      <c r="B3" s="14">
        <v>-8.4387000000000004E-3</v>
      </c>
      <c r="C3" s="14">
        <v>4.2174999999999999E-3</v>
      </c>
      <c r="D3" s="14">
        <v>-2</v>
      </c>
      <c r="E3" s="14">
        <v>4.4999999999999998E-2</v>
      </c>
      <c r="F3" s="14">
        <v>-1.6705000000000001E-2</v>
      </c>
      <c r="G3" s="14">
        <v>-1.7249999999999999E-4</v>
      </c>
    </row>
    <row r="4" spans="1:7" ht="17.25" thickBot="1" x14ac:dyDescent="0.3">
      <c r="A4" s="14">
        <v>-6</v>
      </c>
      <c r="B4" s="14">
        <v>-5.3610999999999997E-3</v>
      </c>
      <c r="C4" s="14">
        <v>4.2655000000000002E-3</v>
      </c>
      <c r="D4" s="14">
        <v>-1.26</v>
      </c>
      <c r="E4" s="14">
        <v>0.20899999999999999</v>
      </c>
      <c r="F4" s="14">
        <v>-1.37216E-2</v>
      </c>
      <c r="G4" s="14">
        <v>2.9994000000000002E-3</v>
      </c>
    </row>
    <row r="5" spans="1:7" ht="17.25" thickBot="1" x14ac:dyDescent="0.3">
      <c r="A5" s="14">
        <v>-5</v>
      </c>
      <c r="B5" s="14">
        <v>-8.8915999999999995E-3</v>
      </c>
      <c r="C5" s="14">
        <v>4.1038000000000003E-3</v>
      </c>
      <c r="D5" s="14">
        <v>-2.17</v>
      </c>
      <c r="E5" s="14">
        <v>0.03</v>
      </c>
      <c r="F5" s="14">
        <v>-1.6935100000000002E-2</v>
      </c>
      <c r="G5" s="14">
        <v>-8.4820000000000002E-4</v>
      </c>
    </row>
    <row r="6" spans="1:7" ht="17.25" thickBot="1" x14ac:dyDescent="0.3">
      <c r="A6" s="14">
        <v>-4</v>
      </c>
      <c r="B6" s="14">
        <v>-2.0883999999999998E-3</v>
      </c>
      <c r="C6" s="14">
        <v>4.1809999999999998E-3</v>
      </c>
      <c r="D6" s="14">
        <v>-0.5</v>
      </c>
      <c r="E6" s="14">
        <v>0.61699999999999999</v>
      </c>
      <c r="F6" s="14">
        <v>-1.02831E-2</v>
      </c>
      <c r="G6" s="14">
        <v>6.1063000000000003E-3</v>
      </c>
    </row>
    <row r="7" spans="1:7" ht="17.25" thickBot="1" x14ac:dyDescent="0.3">
      <c r="A7" s="14">
        <v>-3</v>
      </c>
      <c r="B7" s="14">
        <v>-1.2447000000000001E-3</v>
      </c>
      <c r="C7" s="14">
        <v>5.4668E-3</v>
      </c>
      <c r="D7" s="14">
        <v>-0.23</v>
      </c>
      <c r="E7" s="14">
        <v>0.82</v>
      </c>
      <c r="F7" s="14">
        <v>-1.19597E-2</v>
      </c>
      <c r="G7" s="14">
        <v>9.4702999999999992E-3</v>
      </c>
    </row>
    <row r="8" spans="1:7" ht="17.25" thickBot="1" x14ac:dyDescent="0.3">
      <c r="A8" s="14">
        <v>-2</v>
      </c>
      <c r="B8" s="14">
        <v>4.4362000000000004E-3</v>
      </c>
      <c r="C8" s="14">
        <v>4.3486999999999996E-3</v>
      </c>
      <c r="D8" s="14">
        <v>1.02</v>
      </c>
      <c r="E8" s="14">
        <v>0.308</v>
      </c>
      <c r="F8" s="14">
        <v>-4.0872E-3</v>
      </c>
      <c r="G8" s="14">
        <v>1.29596E-2</v>
      </c>
    </row>
    <row r="9" spans="1:7" ht="17.25" thickBot="1" x14ac:dyDescent="0.3">
      <c r="A9" s="14">
        <v>0</v>
      </c>
      <c r="B9" s="14">
        <v>1.8275900000000001E-2</v>
      </c>
      <c r="C9" s="14">
        <v>4.3631E-3</v>
      </c>
      <c r="D9" s="14">
        <v>4.1900000000000004</v>
      </c>
      <c r="E9" s="14">
        <v>0</v>
      </c>
      <c r="F9" s="14">
        <v>1.7103500000000001E-2</v>
      </c>
      <c r="G9" s="14">
        <v>9.7240999999999994E-3</v>
      </c>
    </row>
    <row r="10" spans="1:7" ht="17.25" thickBot="1" x14ac:dyDescent="0.3">
      <c r="A10" s="14">
        <v>1</v>
      </c>
      <c r="B10" s="14">
        <v>1.8209800000000002E-2</v>
      </c>
      <c r="C10" s="14">
        <v>5.1691999999999997E-3</v>
      </c>
      <c r="D10" s="14">
        <v>3.52</v>
      </c>
      <c r="E10" s="14">
        <v>0</v>
      </c>
      <c r="F10" s="14">
        <v>2.0263299999999998E-2</v>
      </c>
      <c r="G10" s="14">
        <v>8.0782000000000007E-3</v>
      </c>
    </row>
    <row r="11" spans="1:7" ht="17.25" thickBot="1" x14ac:dyDescent="0.3">
      <c r="A11" s="14" t="s">
        <v>7</v>
      </c>
      <c r="B11" s="14">
        <v>1.1235109999999999</v>
      </c>
      <c r="C11" s="14">
        <v>1.7154E-3</v>
      </c>
      <c r="D11" s="14">
        <v>654.97</v>
      </c>
    </row>
    <row r="20" spans="11:11" x14ac:dyDescent="0.25">
      <c r="K20" s="17" t="s">
        <v>58</v>
      </c>
    </row>
  </sheetData>
  <mergeCells count="1">
    <mergeCell ref="F1:G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91E5A-6201-4DBD-BFA0-799B9116740B}">
  <dimension ref="A1:K20"/>
  <sheetViews>
    <sheetView zoomScaleNormal="100" workbookViewId="0">
      <selection activeCell="J25" sqref="J25"/>
    </sheetView>
  </sheetViews>
  <sheetFormatPr baseColWidth="10" defaultColWidth="8.7109375" defaultRowHeight="15" x14ac:dyDescent="0.25"/>
  <cols>
    <col min="1" max="16384" width="8.7109375" style="13"/>
  </cols>
  <sheetData>
    <row r="1" spans="1:7" ht="66.599999999999994" customHeight="1" thickBot="1" x14ac:dyDescent="0.3">
      <c r="A1" s="12" t="s">
        <v>0</v>
      </c>
      <c r="B1" s="12" t="s">
        <v>1</v>
      </c>
      <c r="C1" s="12" t="s">
        <v>2</v>
      </c>
      <c r="D1" s="12" t="s">
        <v>3</v>
      </c>
      <c r="E1" s="12" t="s">
        <v>4</v>
      </c>
      <c r="F1" s="44" t="s">
        <v>16</v>
      </c>
      <c r="G1" s="45"/>
    </row>
    <row r="2" spans="1:7" ht="17.25" thickBot="1" x14ac:dyDescent="0.3">
      <c r="A2" s="14">
        <v>-8</v>
      </c>
      <c r="B2" s="14">
        <f>+event_study!B2*100</f>
        <v>-0.62113000000000007</v>
      </c>
      <c r="C2" s="14">
        <f>+event_study!C2*100</f>
        <v>0.44530999999999998</v>
      </c>
      <c r="D2" s="14">
        <v>-1.39</v>
      </c>
      <c r="E2" s="14">
        <v>0.16300000000000001</v>
      </c>
      <c r="F2" s="14">
        <f>+event_study!F2*100</f>
        <v>-1.49394</v>
      </c>
      <c r="G2" s="14">
        <f>+event_study!G2*100</f>
        <v>0.25168999999999997</v>
      </c>
    </row>
    <row r="3" spans="1:7" ht="17.25" thickBot="1" x14ac:dyDescent="0.3">
      <c r="A3" s="14">
        <v>-7</v>
      </c>
      <c r="B3" s="14">
        <f>+event_study!B3*100</f>
        <v>-0.84387000000000001</v>
      </c>
      <c r="C3" s="14">
        <f>+event_study!C3*100</f>
        <v>0.42175000000000001</v>
      </c>
      <c r="D3" s="14">
        <v>-2</v>
      </c>
      <c r="E3" s="14">
        <v>4.4999999999999998E-2</v>
      </c>
      <c r="F3" s="14">
        <f>+event_study!F3*100</f>
        <v>-1.6705000000000001</v>
      </c>
      <c r="G3" s="14">
        <f>+event_study!G3*100</f>
        <v>-1.7249999999999998E-2</v>
      </c>
    </row>
    <row r="4" spans="1:7" ht="17.25" thickBot="1" x14ac:dyDescent="0.3">
      <c r="A4" s="14">
        <v>-6</v>
      </c>
      <c r="B4" s="14">
        <f>+event_study!B4*100</f>
        <v>-0.53610999999999998</v>
      </c>
      <c r="C4" s="14">
        <f>+event_study!C4*100</f>
        <v>0.42655000000000004</v>
      </c>
      <c r="D4" s="14">
        <v>-1.26</v>
      </c>
      <c r="E4" s="14">
        <v>0.20899999999999999</v>
      </c>
      <c r="F4" s="14">
        <f>+event_study!F4*100</f>
        <v>-1.37216</v>
      </c>
      <c r="G4" s="14">
        <f>+event_study!G4*100</f>
        <v>0.29994000000000004</v>
      </c>
    </row>
    <row r="5" spans="1:7" ht="17.25" thickBot="1" x14ac:dyDescent="0.3">
      <c r="A5" s="14">
        <v>-5</v>
      </c>
      <c r="B5" s="14">
        <f>+event_study!B5*100</f>
        <v>-0.88915999999999995</v>
      </c>
      <c r="C5" s="14">
        <f>+event_study!C5*100</f>
        <v>0.41038000000000002</v>
      </c>
      <c r="D5" s="14">
        <v>-2.17</v>
      </c>
      <c r="E5" s="14">
        <v>0.03</v>
      </c>
      <c r="F5" s="14">
        <f>+event_study!F5*100</f>
        <v>-1.6935100000000001</v>
      </c>
      <c r="G5" s="14">
        <f>+event_study!G5*100</f>
        <v>-8.4820000000000007E-2</v>
      </c>
    </row>
    <row r="6" spans="1:7" ht="17.25" thickBot="1" x14ac:dyDescent="0.3">
      <c r="A6" s="14">
        <v>-4</v>
      </c>
      <c r="B6" s="14">
        <f>+event_study!B6*100</f>
        <v>-0.20883999999999997</v>
      </c>
      <c r="C6" s="14">
        <f>+event_study!C6*100</f>
        <v>0.41809999999999997</v>
      </c>
      <c r="D6" s="14">
        <v>-0.5</v>
      </c>
      <c r="E6" s="14">
        <v>0.61699999999999999</v>
      </c>
      <c r="F6" s="14">
        <f>+event_study!F6*100</f>
        <v>-1.0283100000000001</v>
      </c>
      <c r="G6" s="14">
        <f>+event_study!G6*100</f>
        <v>0.61063000000000001</v>
      </c>
    </row>
    <row r="7" spans="1:7" ht="17.25" thickBot="1" x14ac:dyDescent="0.3">
      <c r="A7" s="14">
        <v>-3</v>
      </c>
      <c r="B7" s="14">
        <f>+event_study!B7*100</f>
        <v>-0.12447000000000001</v>
      </c>
      <c r="C7" s="14">
        <f>+event_study!C7*100</f>
        <v>0.54667999999999994</v>
      </c>
      <c r="D7" s="14">
        <v>-0.23</v>
      </c>
      <c r="E7" s="14">
        <v>0.82</v>
      </c>
      <c r="F7" s="14">
        <f>+event_study!F7*100</f>
        <v>-1.19597</v>
      </c>
      <c r="G7" s="14">
        <f>+event_study!G7*100</f>
        <v>0.94702999999999993</v>
      </c>
    </row>
    <row r="8" spans="1:7" ht="17.25" thickBot="1" x14ac:dyDescent="0.3">
      <c r="A8" s="14">
        <v>-2</v>
      </c>
      <c r="B8" s="14">
        <f>+event_study!B8*100</f>
        <v>0.44362000000000001</v>
      </c>
      <c r="C8" s="14">
        <f>+event_study!C8*100</f>
        <v>0.43486999999999998</v>
      </c>
      <c r="D8" s="14">
        <v>1.02</v>
      </c>
      <c r="E8" s="14">
        <v>0.308</v>
      </c>
      <c r="F8" s="14">
        <f>+event_study!F8*100</f>
        <v>-0.40872000000000003</v>
      </c>
      <c r="G8" s="14">
        <f>+event_study!G8*100</f>
        <v>1.29596</v>
      </c>
    </row>
    <row r="9" spans="1:7" ht="17.25" thickBot="1" x14ac:dyDescent="0.3">
      <c r="A9" s="14">
        <v>0</v>
      </c>
      <c r="B9" s="14">
        <f>+event_study!B9*100</f>
        <v>1.82759</v>
      </c>
      <c r="C9" s="14">
        <f>+event_study!C9*100</f>
        <v>0.43630999999999998</v>
      </c>
      <c r="D9" s="14">
        <v>4.1900000000000004</v>
      </c>
      <c r="E9" s="14">
        <v>0</v>
      </c>
      <c r="F9" s="14">
        <f>+event_study!F9*100</f>
        <v>1.71035</v>
      </c>
      <c r="G9" s="14">
        <f>+event_study!G9*100</f>
        <v>0.97241</v>
      </c>
    </row>
    <row r="10" spans="1:7" ht="17.25" thickBot="1" x14ac:dyDescent="0.3">
      <c r="A10" s="14">
        <v>1</v>
      </c>
      <c r="B10" s="14">
        <f>+event_study!B10*100</f>
        <v>1.8209800000000003</v>
      </c>
      <c r="C10" s="14">
        <f>+event_study!C10*100</f>
        <v>0.51691999999999994</v>
      </c>
      <c r="D10" s="14">
        <v>3.52</v>
      </c>
      <c r="E10" s="14">
        <v>0</v>
      </c>
      <c r="F10" s="14">
        <f>+event_study!F10*100</f>
        <v>2.0263299999999997</v>
      </c>
      <c r="G10" s="14">
        <f>+event_study!G10*100</f>
        <v>0.80782000000000009</v>
      </c>
    </row>
    <row r="11" spans="1:7" ht="17.25" thickBot="1" x14ac:dyDescent="0.3">
      <c r="A11" s="14" t="s">
        <v>7</v>
      </c>
      <c r="B11" s="14">
        <v>1.1235109999999999</v>
      </c>
      <c r="C11" s="14">
        <v>1.7154E-3</v>
      </c>
      <c r="D11" s="14">
        <v>654.97</v>
      </c>
    </row>
    <row r="20" spans="11:11" x14ac:dyDescent="0.25">
      <c r="K20" s="17" t="s">
        <v>58</v>
      </c>
    </row>
  </sheetData>
  <mergeCells count="1">
    <mergeCell ref="F1:G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46FFD-1FC0-4AA5-91F4-FE3C872A73D3}">
  <dimension ref="A1:J23"/>
  <sheetViews>
    <sheetView zoomScale="115" zoomScaleNormal="115" workbookViewId="0">
      <selection activeCell="G23" sqref="G23"/>
    </sheetView>
  </sheetViews>
  <sheetFormatPr baseColWidth="10" defaultColWidth="10.85546875" defaultRowHeight="15" x14ac:dyDescent="0.25"/>
  <cols>
    <col min="1" max="16384" width="10.85546875" style="13"/>
  </cols>
  <sheetData>
    <row r="1" spans="1:7" ht="17.25" thickBot="1" x14ac:dyDescent="0.3">
      <c r="A1" s="15" t="s">
        <v>0</v>
      </c>
      <c r="B1" s="15" t="s">
        <v>1</v>
      </c>
      <c r="C1" s="15" t="s">
        <v>2</v>
      </c>
      <c r="D1" s="15" t="s">
        <v>17</v>
      </c>
      <c r="E1" s="15" t="s">
        <v>4</v>
      </c>
      <c r="F1" s="44" t="s">
        <v>16</v>
      </c>
      <c r="G1" s="45"/>
    </row>
    <row r="2" spans="1:7" x14ac:dyDescent="0.25">
      <c r="A2" s="13" t="s">
        <v>18</v>
      </c>
      <c r="B2" s="13">
        <v>1.7750999999999999E-3</v>
      </c>
      <c r="C2" s="13">
        <v>9.8409999999999991E-4</v>
      </c>
      <c r="D2" s="13">
        <v>1.8</v>
      </c>
      <c r="E2" s="13">
        <v>7.0999999999999994E-2</v>
      </c>
      <c r="F2" s="13">
        <v>-1.537E-4</v>
      </c>
      <c r="G2" s="13">
        <v>3.7039999999999998E-3</v>
      </c>
    </row>
    <row r="3" spans="1:7" ht="15.75" thickBot="1" x14ac:dyDescent="0.3">
      <c r="A3" s="13" t="s">
        <v>19</v>
      </c>
      <c r="B3" s="13">
        <v>1.16112E-2</v>
      </c>
      <c r="C3" s="13">
        <v>4.156E-3</v>
      </c>
      <c r="D3" s="13">
        <v>2.79</v>
      </c>
      <c r="E3" s="13">
        <v>5.0000000000000001E-3</v>
      </c>
      <c r="F3" s="13">
        <v>3.4656000000000001E-3</v>
      </c>
      <c r="G3" s="13">
        <v>1.9756699999999999E-2</v>
      </c>
    </row>
    <row r="4" spans="1:7" ht="17.25" thickBot="1" x14ac:dyDescent="0.3">
      <c r="A4" s="14">
        <v>-8</v>
      </c>
      <c r="B4" s="13">
        <v>1.9700000000000002E-6</v>
      </c>
      <c r="C4" s="13">
        <v>4.6116000000000004E-3</v>
      </c>
      <c r="D4" s="13">
        <v>0</v>
      </c>
      <c r="E4" s="13">
        <v>1</v>
      </c>
      <c r="F4" s="13">
        <v>-9.0366999999999999E-3</v>
      </c>
      <c r="G4" s="13">
        <v>9.0405999999999993E-3</v>
      </c>
    </row>
    <row r="5" spans="1:7" ht="17.25" thickBot="1" x14ac:dyDescent="0.3">
      <c r="A5" s="14">
        <v>-7</v>
      </c>
      <c r="B5" s="13">
        <v>-3.5171E-3</v>
      </c>
      <c r="C5" s="13">
        <v>4.2759E-3</v>
      </c>
      <c r="D5" s="13">
        <v>-0.82</v>
      </c>
      <c r="E5" s="13">
        <v>0.41099999999999998</v>
      </c>
      <c r="F5" s="13">
        <v>-1.1897700000000001E-2</v>
      </c>
      <c r="G5" s="13">
        <v>4.8634000000000004E-3</v>
      </c>
    </row>
    <row r="6" spans="1:7" ht="17.25" thickBot="1" x14ac:dyDescent="0.3">
      <c r="A6" s="14">
        <v>-6</v>
      </c>
      <c r="B6" s="13">
        <v>8.298E-4</v>
      </c>
      <c r="C6" s="13">
        <v>3.9328999999999996E-3</v>
      </c>
      <c r="D6" s="13">
        <v>0.21</v>
      </c>
      <c r="E6" s="13">
        <v>0.83299999999999996</v>
      </c>
      <c r="F6" s="13">
        <v>-6.8783999999999998E-3</v>
      </c>
      <c r="G6" s="13">
        <v>8.5380999999999999E-3</v>
      </c>
    </row>
    <row r="7" spans="1:7" ht="17.25" thickBot="1" x14ac:dyDescent="0.3">
      <c r="A7" s="14">
        <v>-5</v>
      </c>
      <c r="B7" s="13">
        <v>-5.4897000000000001E-3</v>
      </c>
      <c r="C7" s="13">
        <v>3.8590999999999999E-3</v>
      </c>
      <c r="D7" s="13">
        <v>-1.42</v>
      </c>
      <c r="E7" s="13">
        <v>0.155</v>
      </c>
      <c r="F7" s="13">
        <v>-1.30534E-2</v>
      </c>
      <c r="G7" s="13">
        <v>2.0741000000000002E-3</v>
      </c>
    </row>
    <row r="8" spans="1:7" ht="17.25" thickBot="1" x14ac:dyDescent="0.3">
      <c r="A8" s="14">
        <v>-4</v>
      </c>
      <c r="B8" s="13">
        <v>4.7115000000000004E-3</v>
      </c>
      <c r="C8" s="13">
        <v>3.8801999999999999E-3</v>
      </c>
      <c r="D8" s="13">
        <v>1.21</v>
      </c>
      <c r="E8" s="13">
        <v>0.22500000000000001</v>
      </c>
      <c r="F8" s="13">
        <v>-2.8936000000000001E-3</v>
      </c>
      <c r="G8" s="13">
        <v>1.2316499999999999E-2</v>
      </c>
    </row>
    <row r="9" spans="1:7" ht="17.25" thickBot="1" x14ac:dyDescent="0.3">
      <c r="A9" s="14">
        <v>-3</v>
      </c>
      <c r="B9" s="13">
        <v>3.6113E-3</v>
      </c>
      <c r="C9" s="13">
        <v>5.4066000000000001E-3</v>
      </c>
      <c r="D9" s="13">
        <v>0.67</v>
      </c>
      <c r="E9" s="13">
        <v>0.504</v>
      </c>
      <c r="F9" s="13">
        <v>-6.9854000000000001E-3</v>
      </c>
      <c r="G9" s="13">
        <v>1.4207900000000001E-2</v>
      </c>
    </row>
    <row r="10" spans="1:7" ht="17.25" thickBot="1" x14ac:dyDescent="0.3">
      <c r="A10" s="14">
        <v>-2</v>
      </c>
      <c r="B10" s="13">
        <v>7.9714999999999994E-3</v>
      </c>
      <c r="C10" s="13">
        <v>5.5158000000000004E-3</v>
      </c>
      <c r="D10" s="13">
        <v>1.45</v>
      </c>
      <c r="E10" s="13">
        <v>0.14799999999999999</v>
      </c>
      <c r="F10" s="13">
        <v>-2.8392000000000001E-3</v>
      </c>
      <c r="G10" s="13">
        <v>1.8782199999999999E-2</v>
      </c>
    </row>
    <row r="11" spans="1:7" ht="17.25" thickBot="1" x14ac:dyDescent="0.3">
      <c r="A11" s="16">
        <v>-1</v>
      </c>
      <c r="B11" s="13">
        <v>6.0816000000000004E-3</v>
      </c>
      <c r="C11" s="13">
        <v>4.4112999999999999E-3</v>
      </c>
      <c r="D11" s="13">
        <v>1.38</v>
      </c>
      <c r="E11" s="13">
        <v>0.16800000000000001</v>
      </c>
      <c r="F11" s="13">
        <v>-2.5642999999999998E-3</v>
      </c>
      <c r="G11" s="13">
        <v>1.47276E-2</v>
      </c>
    </row>
    <row r="12" spans="1:7" ht="17.25" thickBot="1" x14ac:dyDescent="0.3">
      <c r="A12" s="14">
        <v>0</v>
      </c>
      <c r="B12" s="13">
        <v>1.11401E-2</v>
      </c>
      <c r="C12" s="13">
        <v>4.2824999999999998E-3</v>
      </c>
      <c r="D12" s="13">
        <v>2.6</v>
      </c>
      <c r="E12" s="13">
        <v>8.9999999999999993E-3</v>
      </c>
      <c r="F12" s="13">
        <v>1.9533700000000001E-2</v>
      </c>
      <c r="G12" s="13">
        <v>2.7464999999999998E-3</v>
      </c>
    </row>
    <row r="13" spans="1:7" ht="17.25" thickBot="1" x14ac:dyDescent="0.3">
      <c r="A13" s="14">
        <v>1</v>
      </c>
      <c r="B13" s="13">
        <v>1.2082300000000001E-2</v>
      </c>
      <c r="C13" s="13">
        <v>5.5180000000000003E-3</v>
      </c>
      <c r="D13" s="13">
        <v>2.19</v>
      </c>
      <c r="E13" s="13">
        <v>2.9000000000000001E-2</v>
      </c>
      <c r="F13" s="13">
        <v>2.2897399999999998E-2</v>
      </c>
      <c r="G13" s="13">
        <v>1.2673000000000001E-3</v>
      </c>
    </row>
    <row r="14" spans="1:7" x14ac:dyDescent="0.25">
      <c r="A14" s="13" t="s">
        <v>20</v>
      </c>
      <c r="B14" s="13">
        <v>1.1539799999999999E-2</v>
      </c>
      <c r="C14" s="13">
        <v>4.0641999999999996E-3</v>
      </c>
      <c r="D14" s="13">
        <v>2.84</v>
      </c>
      <c r="E14" s="13">
        <v>5.0000000000000001E-3</v>
      </c>
      <c r="F14" s="13">
        <v>3.5739999999999999E-3</v>
      </c>
      <c r="G14" s="13">
        <v>1.9505499999999999E-2</v>
      </c>
    </row>
    <row r="23" spans="10:10" x14ac:dyDescent="0.25">
      <c r="J23" s="17" t="s">
        <v>58</v>
      </c>
    </row>
  </sheetData>
  <mergeCells count="1">
    <mergeCell ref="F1:G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EF0F-1D30-404C-937E-2FD3C8AB513E}">
  <dimension ref="A1:J19"/>
  <sheetViews>
    <sheetView topLeftCell="D1" zoomScale="115" zoomScaleNormal="115" workbookViewId="0">
      <selection activeCell="J19" sqref="J19"/>
    </sheetView>
  </sheetViews>
  <sheetFormatPr baseColWidth="10" defaultColWidth="10.85546875" defaultRowHeight="15" x14ac:dyDescent="0.25"/>
  <cols>
    <col min="1" max="16384" width="10.85546875" style="13"/>
  </cols>
  <sheetData>
    <row r="1" spans="1:7" ht="17.25" thickBot="1" x14ac:dyDescent="0.3">
      <c r="A1" s="15" t="s">
        <v>0</v>
      </c>
      <c r="B1" s="15" t="s">
        <v>1</v>
      </c>
      <c r="C1" s="15" t="s">
        <v>2</v>
      </c>
      <c r="D1" s="15" t="s">
        <v>17</v>
      </c>
      <c r="E1" s="15" t="s">
        <v>4</v>
      </c>
      <c r="F1" s="44" t="s">
        <v>16</v>
      </c>
      <c r="G1" s="45"/>
    </row>
    <row r="2" spans="1:7" x14ac:dyDescent="0.25">
      <c r="A2" s="13" t="s">
        <v>18</v>
      </c>
      <c r="B2" s="13">
        <v>1.7750999999999999E-3</v>
      </c>
      <c r="C2" s="13">
        <v>9.8409999999999991E-4</v>
      </c>
      <c r="D2" s="13">
        <v>1.8</v>
      </c>
      <c r="E2" s="13">
        <v>7.0999999999999994E-2</v>
      </c>
      <c r="F2" s="13">
        <v>-1.537E-4</v>
      </c>
      <c r="G2" s="13">
        <v>3.7039999999999998E-3</v>
      </c>
    </row>
    <row r="3" spans="1:7" ht="15.75" thickBot="1" x14ac:dyDescent="0.3">
      <c r="A3" s="13" t="s">
        <v>19</v>
      </c>
      <c r="B3" s="13">
        <v>1.16112E-2</v>
      </c>
      <c r="C3" s="13">
        <v>4.156E-3</v>
      </c>
      <c r="D3" s="13">
        <v>2.79</v>
      </c>
      <c r="E3" s="13">
        <v>5.0000000000000001E-3</v>
      </c>
      <c r="F3" s="13">
        <v>3.4656000000000001E-3</v>
      </c>
      <c r="G3" s="13">
        <v>1.9756699999999999E-2</v>
      </c>
    </row>
    <row r="4" spans="1:7" ht="17.25" thickBot="1" x14ac:dyDescent="0.3">
      <c r="A4" s="14">
        <v>-8</v>
      </c>
      <c r="B4" s="13">
        <f>+results_CS!B4*100</f>
        <v>1.9700000000000002E-4</v>
      </c>
      <c r="C4" s="13">
        <f>+results_CS!C4*100</f>
        <v>0.46116000000000001</v>
      </c>
      <c r="D4" s="13">
        <v>0</v>
      </c>
      <c r="E4" s="13">
        <v>1</v>
      </c>
      <c r="F4" s="13">
        <f>+results_CS!F4*100</f>
        <v>-0.90366999999999997</v>
      </c>
      <c r="G4" s="13">
        <f>+results_CS!G4*100</f>
        <v>0.90405999999999997</v>
      </c>
    </row>
    <row r="5" spans="1:7" ht="17.25" thickBot="1" x14ac:dyDescent="0.3">
      <c r="A5" s="14">
        <v>-7</v>
      </c>
      <c r="B5" s="13">
        <f>+results_CS!B5*100</f>
        <v>-0.35171000000000002</v>
      </c>
      <c r="C5" s="13">
        <f>+results_CS!C5*100</f>
        <v>0.42759000000000003</v>
      </c>
      <c r="D5" s="13">
        <v>-0.82</v>
      </c>
      <c r="E5" s="13">
        <v>0.41099999999999998</v>
      </c>
      <c r="F5" s="13">
        <f>+results_CS!F5*100</f>
        <v>-1.18977</v>
      </c>
      <c r="G5" s="13">
        <f>+results_CS!G5*100</f>
        <v>0.48634000000000005</v>
      </c>
    </row>
    <row r="6" spans="1:7" ht="17.25" thickBot="1" x14ac:dyDescent="0.3">
      <c r="A6" s="14">
        <v>-6</v>
      </c>
      <c r="B6" s="13">
        <f>+results_CS!B6*100</f>
        <v>8.2979999999999998E-2</v>
      </c>
      <c r="C6" s="13">
        <f>+results_CS!C6*100</f>
        <v>0.39328999999999997</v>
      </c>
      <c r="D6" s="13">
        <v>0.21</v>
      </c>
      <c r="E6" s="13">
        <v>0.83299999999999996</v>
      </c>
      <c r="F6" s="13">
        <f>+results_CS!F6*100</f>
        <v>-0.68784000000000001</v>
      </c>
      <c r="G6" s="13">
        <f>+results_CS!G6*100</f>
        <v>0.85380999999999996</v>
      </c>
    </row>
    <row r="7" spans="1:7" ht="17.25" thickBot="1" x14ac:dyDescent="0.3">
      <c r="A7" s="14">
        <v>-5</v>
      </c>
      <c r="B7" s="13">
        <f>+results_CS!B7*100</f>
        <v>-0.54896999999999996</v>
      </c>
      <c r="C7" s="13">
        <f>+results_CS!C7*100</f>
        <v>0.38590999999999998</v>
      </c>
      <c r="D7" s="13">
        <v>-1.42</v>
      </c>
      <c r="E7" s="13">
        <v>0.155</v>
      </c>
      <c r="F7" s="13">
        <f>+results_CS!F7*100</f>
        <v>-1.3053399999999999</v>
      </c>
      <c r="G7" s="13">
        <f>+results_CS!G7*100</f>
        <v>0.20741000000000001</v>
      </c>
    </row>
    <row r="8" spans="1:7" ht="17.25" thickBot="1" x14ac:dyDescent="0.3">
      <c r="A8" s="14">
        <v>-4</v>
      </c>
      <c r="B8" s="13">
        <f>+results_CS!B8*100</f>
        <v>0.47115000000000007</v>
      </c>
      <c r="C8" s="13">
        <f>+results_CS!C8*100</f>
        <v>0.38801999999999998</v>
      </c>
      <c r="D8" s="13">
        <v>1.21</v>
      </c>
      <c r="E8" s="13">
        <v>0.22500000000000001</v>
      </c>
      <c r="F8" s="13">
        <f>+results_CS!F8*100</f>
        <v>-0.28936000000000001</v>
      </c>
      <c r="G8" s="13">
        <f>+results_CS!G8*100</f>
        <v>1.2316499999999999</v>
      </c>
    </row>
    <row r="9" spans="1:7" ht="17.25" thickBot="1" x14ac:dyDescent="0.3">
      <c r="A9" s="14">
        <v>-3</v>
      </c>
      <c r="B9" s="13">
        <f>+results_CS!B9*100</f>
        <v>0.36113000000000001</v>
      </c>
      <c r="C9" s="13">
        <f>+results_CS!C9*100</f>
        <v>0.54066000000000003</v>
      </c>
      <c r="D9" s="13">
        <v>0.67</v>
      </c>
      <c r="E9" s="13">
        <v>0.504</v>
      </c>
      <c r="F9" s="13">
        <f>+results_CS!F9*100</f>
        <v>-0.69854000000000005</v>
      </c>
      <c r="G9" s="13">
        <f>+results_CS!G9*100</f>
        <v>1.42079</v>
      </c>
    </row>
    <row r="10" spans="1:7" ht="17.25" thickBot="1" x14ac:dyDescent="0.3">
      <c r="A10" s="14">
        <v>-2</v>
      </c>
      <c r="B10" s="13">
        <f>+results_CS!B10*100</f>
        <v>0.79714999999999991</v>
      </c>
      <c r="C10" s="13">
        <f>+results_CS!C10*100</f>
        <v>0.55158000000000007</v>
      </c>
      <c r="D10" s="13">
        <v>1.45</v>
      </c>
      <c r="E10" s="13">
        <v>0.14799999999999999</v>
      </c>
      <c r="F10" s="13">
        <f>+results_CS!F10*100</f>
        <v>-0.28392000000000001</v>
      </c>
      <c r="G10" s="13">
        <f>+results_CS!G10*100</f>
        <v>1.8782199999999998</v>
      </c>
    </row>
    <row r="11" spans="1:7" ht="17.25" thickBot="1" x14ac:dyDescent="0.3">
      <c r="A11" s="16">
        <v>-1</v>
      </c>
      <c r="B11" s="13">
        <f>+results_CS!B11*100</f>
        <v>0.60816000000000003</v>
      </c>
      <c r="C11" s="13">
        <f>+results_CS!C11*100</f>
        <v>0.44113000000000002</v>
      </c>
      <c r="D11" s="13">
        <v>1.38</v>
      </c>
      <c r="E11" s="13">
        <v>0.16800000000000001</v>
      </c>
      <c r="F11" s="13">
        <f>+results_CS!F11*100</f>
        <v>-0.25642999999999999</v>
      </c>
      <c r="G11" s="13">
        <f>+results_CS!G11*100</f>
        <v>1.4727600000000001</v>
      </c>
    </row>
    <row r="12" spans="1:7" ht="17.25" thickBot="1" x14ac:dyDescent="0.3">
      <c r="A12" s="14">
        <v>0</v>
      </c>
      <c r="B12" s="13">
        <f>+results_CS!B12*100</f>
        <v>1.1140099999999999</v>
      </c>
      <c r="C12" s="13">
        <f>+results_CS!C12*100</f>
        <v>0.42824999999999996</v>
      </c>
      <c r="D12" s="13">
        <v>2.6</v>
      </c>
      <c r="E12" s="13">
        <v>8.9999999999999993E-3</v>
      </c>
      <c r="F12" s="13">
        <f>+results_CS!F12*100</f>
        <v>1.9533700000000001</v>
      </c>
      <c r="G12" s="13">
        <f>+results_CS!G12*100</f>
        <v>0.27465000000000001</v>
      </c>
    </row>
    <row r="13" spans="1:7" ht="17.25" thickBot="1" x14ac:dyDescent="0.3">
      <c r="A13" s="14">
        <v>1</v>
      </c>
      <c r="B13" s="13">
        <f>+results_CS!B13*100</f>
        <v>1.2082300000000001</v>
      </c>
      <c r="C13" s="13">
        <f>+results_CS!C13*100</f>
        <v>0.55180000000000007</v>
      </c>
      <c r="D13" s="13">
        <v>2.19</v>
      </c>
      <c r="E13" s="13">
        <v>2.9000000000000001E-2</v>
      </c>
      <c r="F13" s="13">
        <f>+results_CS!F13*100</f>
        <v>2.2897399999999997</v>
      </c>
      <c r="G13" s="13">
        <f>+results_CS!G13*100</f>
        <v>0.12673000000000001</v>
      </c>
    </row>
    <row r="14" spans="1:7" x14ac:dyDescent="0.25">
      <c r="A14" s="13" t="s">
        <v>20</v>
      </c>
      <c r="B14" s="13">
        <v>1.1539799999999999E-2</v>
      </c>
      <c r="C14" s="13">
        <v>4.0641999999999996E-3</v>
      </c>
      <c r="D14" s="13">
        <v>2.84</v>
      </c>
      <c r="E14" s="13">
        <v>5.0000000000000001E-3</v>
      </c>
      <c r="F14" s="13">
        <v>3.5739999999999999E-3</v>
      </c>
      <c r="G14" s="13">
        <v>1.9505499999999999E-2</v>
      </c>
    </row>
    <row r="19" spans="10:10" x14ac:dyDescent="0.25">
      <c r="J19" s="17" t="s">
        <v>58</v>
      </c>
    </row>
  </sheetData>
  <mergeCells count="1">
    <mergeCell ref="F1:G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2CC9-A221-451D-A5BE-A1B73723D1B3}">
  <dimension ref="A1:G13"/>
  <sheetViews>
    <sheetView zoomScale="70" zoomScaleNormal="70" workbookViewId="0">
      <selection activeCell="F31" sqref="F31"/>
    </sheetView>
  </sheetViews>
  <sheetFormatPr baseColWidth="10" defaultRowHeight="15" x14ac:dyDescent="0.25"/>
  <sheetData>
    <row r="1" spans="1:7" ht="17.100000000000001" customHeight="1" thickBot="1" x14ac:dyDescent="0.3">
      <c r="A1" s="5" t="s">
        <v>0</v>
      </c>
      <c r="B1" s="5" t="s">
        <v>1</v>
      </c>
      <c r="C1" s="5" t="s">
        <v>2</v>
      </c>
      <c r="D1" s="5" t="s">
        <v>17</v>
      </c>
      <c r="E1" s="5" t="s">
        <v>4</v>
      </c>
      <c r="F1" s="46" t="s">
        <v>16</v>
      </c>
      <c r="G1" s="47"/>
    </row>
    <row r="2" spans="1:7" x14ac:dyDescent="0.25">
      <c r="A2" t="s">
        <v>18</v>
      </c>
      <c r="B2">
        <v>-7.8200000000000006E-3</v>
      </c>
      <c r="C2">
        <v>4.4880000000000003E-2</v>
      </c>
      <c r="D2">
        <v>-0.17</v>
      </c>
      <c r="E2">
        <v>0.86199999999999999</v>
      </c>
      <c r="F2">
        <v>-9.579E-2</v>
      </c>
      <c r="G2">
        <v>8.0149999999999999E-2</v>
      </c>
    </row>
    <row r="3" spans="1:7" ht="15.75" thickBot="1" x14ac:dyDescent="0.3">
      <c r="A3" t="s">
        <v>19</v>
      </c>
      <c r="B3">
        <v>1.11181</v>
      </c>
      <c r="C3">
        <v>1.8832E-3</v>
      </c>
      <c r="D3">
        <v>5.9</v>
      </c>
      <c r="E3">
        <v>0</v>
      </c>
      <c r="F3">
        <v>0.74272000000000005</v>
      </c>
      <c r="G3">
        <v>1.4809099999999999</v>
      </c>
    </row>
    <row r="4" spans="1:7" ht="17.25" thickBot="1" x14ac:dyDescent="0.3">
      <c r="A4" s="1">
        <v>-8</v>
      </c>
      <c r="B4">
        <v>8.3479999999999999E-2</v>
      </c>
      <c r="C4">
        <v>1.9434000000000001E-3</v>
      </c>
      <c r="D4">
        <v>0.43</v>
      </c>
      <c r="E4">
        <v>0.66800000000000004</v>
      </c>
      <c r="F4">
        <v>-0.29743000000000003</v>
      </c>
      <c r="G4">
        <v>0.46438000000000001</v>
      </c>
    </row>
    <row r="5" spans="1:7" ht="17.25" thickBot="1" x14ac:dyDescent="0.3">
      <c r="A5" s="1">
        <v>-7</v>
      </c>
      <c r="B5">
        <v>-0.13879999999999998</v>
      </c>
      <c r="C5">
        <v>1.8508999999999999E-3</v>
      </c>
      <c r="D5">
        <v>-0.75</v>
      </c>
      <c r="E5">
        <v>0.45300000000000001</v>
      </c>
      <c r="F5">
        <v>-0.50158000000000003</v>
      </c>
      <c r="G5">
        <v>0.22396999999999997</v>
      </c>
    </row>
    <row r="6" spans="1:7" ht="17.25" thickBot="1" x14ac:dyDescent="0.3">
      <c r="A6" s="1">
        <v>-6</v>
      </c>
      <c r="B6">
        <v>7.7200000000000003E-3</v>
      </c>
      <c r="C6">
        <v>1.8507E-3</v>
      </c>
      <c r="D6">
        <v>0.04</v>
      </c>
      <c r="E6">
        <v>0.96699999999999997</v>
      </c>
      <c r="F6">
        <v>-0.35500999999999999</v>
      </c>
      <c r="G6">
        <v>0.37045</v>
      </c>
    </row>
    <row r="7" spans="1:7" ht="17.25" thickBot="1" x14ac:dyDescent="0.3">
      <c r="A7" s="1">
        <v>-5</v>
      </c>
      <c r="B7">
        <v>-3.32E-3</v>
      </c>
      <c r="C7">
        <v>1.7891999999999999E-3</v>
      </c>
      <c r="D7">
        <v>-0.02</v>
      </c>
      <c r="E7">
        <v>0.98499999999999999</v>
      </c>
      <c r="F7">
        <v>-0.35398999999999997</v>
      </c>
      <c r="G7">
        <v>0.34734999999999999</v>
      </c>
    </row>
    <row r="8" spans="1:7" ht="17.25" thickBot="1" x14ac:dyDescent="0.3">
      <c r="A8" s="1">
        <v>-4</v>
      </c>
      <c r="B8">
        <v>-0.11419</v>
      </c>
      <c r="C8">
        <v>1.7488E-3</v>
      </c>
      <c r="D8">
        <v>-0.65</v>
      </c>
      <c r="E8">
        <v>0.51400000000000001</v>
      </c>
      <c r="F8">
        <v>-0.45694000000000001</v>
      </c>
      <c r="G8">
        <v>0.22856000000000001</v>
      </c>
    </row>
    <row r="9" spans="1:7" ht="17.25" thickBot="1" x14ac:dyDescent="0.3">
      <c r="A9" s="1">
        <v>-3</v>
      </c>
      <c r="B9">
        <v>3.6119999999999999E-2</v>
      </c>
      <c r="C9">
        <v>1.7057999999999999E-3</v>
      </c>
      <c r="D9">
        <v>0.21</v>
      </c>
      <c r="E9">
        <v>0.83199999999999996</v>
      </c>
      <c r="F9">
        <v>-0.29821999999999999</v>
      </c>
      <c r="G9">
        <v>0.37046000000000001</v>
      </c>
    </row>
    <row r="10" spans="1:7" ht="17.25" thickBot="1" x14ac:dyDescent="0.3">
      <c r="A10" s="1">
        <v>-2</v>
      </c>
      <c r="B10">
        <v>-0.13309000000000001</v>
      </c>
      <c r="C10">
        <v>1.6490999999999999E-3</v>
      </c>
      <c r="D10">
        <v>-0.81</v>
      </c>
      <c r="E10">
        <v>0.42</v>
      </c>
      <c r="F10">
        <v>-0.45630000000000004</v>
      </c>
      <c r="G10">
        <v>0.19012000000000001</v>
      </c>
    </row>
    <row r="11" spans="1:7" ht="17.25" thickBot="1" x14ac:dyDescent="0.3">
      <c r="A11" s="4">
        <v>-1</v>
      </c>
      <c r="B11">
        <v>0.19954</v>
      </c>
      <c r="C11">
        <v>1.6377E-3</v>
      </c>
      <c r="D11">
        <v>1.22</v>
      </c>
      <c r="E11">
        <v>0.223</v>
      </c>
      <c r="F11">
        <v>-0.12143</v>
      </c>
      <c r="G11">
        <v>0.52051000000000003</v>
      </c>
    </row>
    <row r="12" spans="1:7" ht="17.25" thickBot="1" x14ac:dyDescent="0.3">
      <c r="A12" s="1">
        <v>0</v>
      </c>
      <c r="B12">
        <v>1.4584900000000001</v>
      </c>
      <c r="C12">
        <v>1.737E-3</v>
      </c>
      <c r="D12">
        <v>8.4</v>
      </c>
      <c r="E12">
        <v>0</v>
      </c>
      <c r="F12">
        <v>0.68089999999999995</v>
      </c>
      <c r="G12">
        <v>1.1180399999999999</v>
      </c>
    </row>
    <row r="13" spans="1:7" ht="17.25" thickBot="1" x14ac:dyDescent="0.3">
      <c r="A13" s="1">
        <v>1</v>
      </c>
      <c r="B13">
        <v>0.76512999999999998</v>
      </c>
      <c r="C13">
        <v>2.5604E-3</v>
      </c>
      <c r="D13">
        <v>2.99</v>
      </c>
      <c r="E13">
        <v>3.0000000000000001E-3</v>
      </c>
      <c r="F13">
        <v>1.00366</v>
      </c>
      <c r="G13">
        <v>0.26329999999999998</v>
      </c>
    </row>
  </sheetData>
  <mergeCells count="1">
    <mergeCell ref="F1:G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053B-CA55-4A2D-9CB4-710D945DFCCB}">
  <dimension ref="A1:J31"/>
  <sheetViews>
    <sheetView topLeftCell="D1" zoomScale="130" zoomScaleNormal="130" workbookViewId="0">
      <selection activeCell="L20" sqref="L20"/>
    </sheetView>
  </sheetViews>
  <sheetFormatPr baseColWidth="10" defaultColWidth="10.85546875" defaultRowHeight="15" x14ac:dyDescent="0.25"/>
  <cols>
    <col min="1" max="16384" width="10.85546875" style="13"/>
  </cols>
  <sheetData>
    <row r="1" spans="1:7" ht="17.100000000000001" customHeight="1" thickBot="1" x14ac:dyDescent="0.3">
      <c r="A1" s="15" t="s">
        <v>0</v>
      </c>
      <c r="B1" s="15" t="s">
        <v>1</v>
      </c>
      <c r="C1" s="15" t="s">
        <v>2</v>
      </c>
      <c r="D1" s="15" t="s">
        <v>17</v>
      </c>
      <c r="E1" s="15" t="s">
        <v>4</v>
      </c>
      <c r="F1" s="44" t="s">
        <v>16</v>
      </c>
      <c r="G1" s="45"/>
    </row>
    <row r="2" spans="1:7" x14ac:dyDescent="0.25">
      <c r="A2" s="13" t="s">
        <v>18</v>
      </c>
      <c r="B2" s="13">
        <v>9.9700000000000011E-2</v>
      </c>
      <c r="C2" s="13">
        <v>4.4880000000000003E-2</v>
      </c>
      <c r="D2" s="13">
        <v>-0.17</v>
      </c>
      <c r="E2" s="13">
        <v>0.86199999999999999</v>
      </c>
      <c r="F2" s="13">
        <v>3.4090000000000002E-2</v>
      </c>
      <c r="G2" s="13">
        <v>0.16531000000000001</v>
      </c>
    </row>
    <row r="3" spans="1:7" ht="15.75" thickBot="1" x14ac:dyDescent="0.3">
      <c r="A3" s="13" t="s">
        <v>19</v>
      </c>
      <c r="B3" s="13">
        <v>1.68411</v>
      </c>
      <c r="C3" s="13">
        <v>1.8832E-3</v>
      </c>
      <c r="D3" s="13">
        <v>5.9</v>
      </c>
      <c r="E3" s="13">
        <v>0</v>
      </c>
      <c r="F3" s="13">
        <v>1.4067499999999999</v>
      </c>
      <c r="G3" s="13">
        <v>1.96147</v>
      </c>
    </row>
    <row r="4" spans="1:7" ht="17.25" thickBot="1" x14ac:dyDescent="0.3">
      <c r="A4" s="14">
        <v>-8</v>
      </c>
      <c r="B4" s="13">
        <v>0.12107</v>
      </c>
      <c r="C4" s="13">
        <v>1.9434000000000001E-3</v>
      </c>
      <c r="D4" s="13">
        <v>0.43</v>
      </c>
      <c r="E4" s="13">
        <v>0.66800000000000004</v>
      </c>
      <c r="F4" s="13">
        <v>-0.19789000000000001</v>
      </c>
      <c r="G4" s="13">
        <v>0.44002000000000002</v>
      </c>
    </row>
    <row r="5" spans="1:7" ht="17.25" thickBot="1" x14ac:dyDescent="0.3">
      <c r="A5" s="14">
        <v>-7</v>
      </c>
      <c r="B5" s="13">
        <v>6.8880000000000011E-2</v>
      </c>
      <c r="C5" s="13">
        <v>1.8508999999999999E-3</v>
      </c>
      <c r="D5" s="13">
        <v>-0.75</v>
      </c>
      <c r="E5" s="13">
        <v>0.45300000000000001</v>
      </c>
      <c r="F5" s="13">
        <v>-0.22678999999999999</v>
      </c>
      <c r="G5" s="13">
        <v>0.36454999999999999</v>
      </c>
    </row>
    <row r="6" spans="1:7" ht="17.25" thickBot="1" x14ac:dyDescent="0.3">
      <c r="A6" s="14">
        <v>-6</v>
      </c>
      <c r="B6" s="13">
        <v>6.8870000000000001E-2</v>
      </c>
      <c r="C6" s="13">
        <v>1.8507E-3</v>
      </c>
      <c r="D6" s="13">
        <v>0.04</v>
      </c>
      <c r="E6" s="13">
        <v>0.96699999999999997</v>
      </c>
      <c r="F6" s="13">
        <v>-0.22423999999999999</v>
      </c>
      <c r="G6" s="13">
        <v>0.36197000000000001</v>
      </c>
    </row>
    <row r="7" spans="1:7" ht="17.25" thickBot="1" x14ac:dyDescent="0.3">
      <c r="A7" s="14">
        <v>-5</v>
      </c>
      <c r="B7" s="13">
        <v>0.11788</v>
      </c>
      <c r="C7" s="13">
        <v>1.7891999999999999E-3</v>
      </c>
      <c r="D7" s="13">
        <v>-0.02</v>
      </c>
      <c r="E7" s="13">
        <v>0.98499999999999999</v>
      </c>
      <c r="F7" s="13">
        <v>-0.15864</v>
      </c>
      <c r="G7" s="13">
        <v>0.39440999999999998</v>
      </c>
    </row>
    <row r="8" spans="1:7" ht="17.25" thickBot="1" x14ac:dyDescent="0.3">
      <c r="A8" s="14">
        <v>-4</v>
      </c>
      <c r="B8" s="13">
        <v>-0.10748000000000001</v>
      </c>
      <c r="C8" s="13">
        <v>1.7488E-3</v>
      </c>
      <c r="D8" s="13">
        <v>-0.65</v>
      </c>
      <c r="E8" s="13">
        <v>0.51400000000000001</v>
      </c>
      <c r="F8" s="13">
        <v>-0.37824000000000002</v>
      </c>
      <c r="G8" s="13">
        <v>0.16327</v>
      </c>
    </row>
    <row r="9" spans="1:7" ht="17.25" thickBot="1" x14ac:dyDescent="0.3">
      <c r="A9" s="14">
        <v>-3</v>
      </c>
      <c r="B9" s="13">
        <v>3.5740000000000001E-2</v>
      </c>
      <c r="C9" s="13">
        <v>1.7057999999999999E-3</v>
      </c>
      <c r="D9" s="13">
        <v>0.21</v>
      </c>
      <c r="E9" s="13">
        <v>0.83199999999999996</v>
      </c>
      <c r="F9" s="13">
        <v>-0.23003000000000001</v>
      </c>
      <c r="G9" s="13">
        <v>0.30152000000000001</v>
      </c>
    </row>
    <row r="10" spans="1:7" ht="17.25" thickBot="1" x14ac:dyDescent="0.3">
      <c r="A10" s="14">
        <v>-2</v>
      </c>
      <c r="B10" s="13">
        <v>0.12467</v>
      </c>
      <c r="C10" s="13">
        <v>1.6490999999999999E-3</v>
      </c>
      <c r="D10" s="13">
        <v>-0.81</v>
      </c>
      <c r="E10" s="13">
        <v>0.42</v>
      </c>
      <c r="F10" s="13">
        <v>-0.11815000000000001</v>
      </c>
      <c r="G10" s="13">
        <v>0.36747999999999997</v>
      </c>
    </row>
    <row r="11" spans="1:7" ht="17.25" thickBot="1" x14ac:dyDescent="0.3">
      <c r="A11" s="16">
        <v>-1</v>
      </c>
      <c r="B11" s="13">
        <v>0.36798999999999998</v>
      </c>
      <c r="C11" s="13">
        <v>1.6377E-3</v>
      </c>
      <c r="D11" s="13">
        <v>1.22</v>
      </c>
      <c r="E11" s="13">
        <v>0.223</v>
      </c>
      <c r="F11" s="13">
        <f>+D29-C29</f>
        <v>0.58899000000000001</v>
      </c>
      <c r="G11" s="13">
        <f>+C29</f>
        <v>2.4199999999999999E-2</v>
      </c>
    </row>
    <row r="12" spans="1:7" ht="17.25" thickBot="1" x14ac:dyDescent="0.3">
      <c r="A12" s="14">
        <v>0</v>
      </c>
      <c r="B12" s="13">
        <v>2.0477599999999998</v>
      </c>
      <c r="C12" s="13">
        <v>1.737E-3</v>
      </c>
      <c r="D12" s="13">
        <v>8.4</v>
      </c>
      <c r="E12" s="13">
        <v>0</v>
      </c>
      <c r="F12" s="13">
        <f t="shared" ref="F12:F13" si="0">+D30-C30</f>
        <v>0.61346999999999996</v>
      </c>
      <c r="G12" s="13">
        <f>+C30</f>
        <v>1.6343399999999999</v>
      </c>
    </row>
    <row r="13" spans="1:7" ht="17.25" thickBot="1" x14ac:dyDescent="0.3">
      <c r="A13" s="14">
        <v>1</v>
      </c>
      <c r="B13" s="13">
        <v>1.32047</v>
      </c>
      <c r="C13" s="13">
        <v>2.5604E-3</v>
      </c>
      <c r="D13" s="13">
        <v>2.99</v>
      </c>
      <c r="E13" s="13">
        <v>3.0000000000000001E-3</v>
      </c>
      <c r="F13" s="13">
        <f t="shared" si="0"/>
        <v>0.85780999999999996</v>
      </c>
      <c r="G13" s="13">
        <f>+C31</f>
        <v>0.96755999999999998</v>
      </c>
    </row>
    <row r="19" spans="1:10" x14ac:dyDescent="0.25">
      <c r="A19" s="15" t="s">
        <v>0</v>
      </c>
      <c r="B19" s="15" t="s">
        <v>45</v>
      </c>
      <c r="C19" s="15" t="s">
        <v>46</v>
      </c>
      <c r="D19" s="15" t="s">
        <v>47</v>
      </c>
      <c r="E19" s="15"/>
      <c r="F19" s="15"/>
      <c r="G19" s="15"/>
    </row>
    <row r="20" spans="1:10" x14ac:dyDescent="0.25">
      <c r="A20" s="13" t="s">
        <v>18</v>
      </c>
      <c r="B20" s="13">
        <v>8.8730000000000003E-2</v>
      </c>
      <c r="C20" s="13">
        <v>1.5429999999999999E-2</v>
      </c>
      <c r="D20" s="13">
        <v>0.16202</v>
      </c>
    </row>
    <row r="21" spans="1:10" x14ac:dyDescent="0.25">
      <c r="A21" s="13" t="s">
        <v>19</v>
      </c>
      <c r="B21" s="13">
        <v>1.6687700000000001</v>
      </c>
      <c r="C21" s="13">
        <v>1.3487800000000001</v>
      </c>
      <c r="D21" s="13">
        <v>1.9887600000000001</v>
      </c>
    </row>
    <row r="22" spans="1:10" x14ac:dyDescent="0.25">
      <c r="A22" s="13" t="s">
        <v>48</v>
      </c>
      <c r="B22" s="13">
        <v>0.12274</v>
      </c>
      <c r="C22" s="13">
        <v>-0.23125000000000001</v>
      </c>
      <c r="D22" s="13">
        <v>0.47671999999999998</v>
      </c>
    </row>
    <row r="23" spans="1:10" x14ac:dyDescent="0.25">
      <c r="A23" s="13" t="s">
        <v>49</v>
      </c>
      <c r="B23" s="13">
        <v>2.7000000000000001E-3</v>
      </c>
      <c r="C23" s="13">
        <v>-0.33644000000000002</v>
      </c>
      <c r="D23" s="13">
        <v>0.34183000000000002</v>
      </c>
      <c r="J23" s="17" t="s">
        <v>58</v>
      </c>
    </row>
    <row r="24" spans="1:10" x14ac:dyDescent="0.25">
      <c r="A24" s="13" t="s">
        <v>50</v>
      </c>
      <c r="B24" s="13">
        <v>0.16930000000000001</v>
      </c>
      <c r="C24" s="13">
        <v>-0.16158</v>
      </c>
      <c r="D24" s="13">
        <v>0.50017999999999996</v>
      </c>
    </row>
    <row r="25" spans="1:10" x14ac:dyDescent="0.25">
      <c r="A25" s="13" t="s">
        <v>51</v>
      </c>
      <c r="B25" s="13">
        <v>0.1416</v>
      </c>
      <c r="C25" s="13">
        <v>-0.17565</v>
      </c>
      <c r="D25" s="13">
        <v>0.45884000000000003</v>
      </c>
    </row>
    <row r="26" spans="1:10" x14ac:dyDescent="0.25">
      <c r="A26" s="13" t="s">
        <v>52</v>
      </c>
      <c r="B26" s="13">
        <v>-5.9290000000000002E-2</v>
      </c>
      <c r="C26" s="13">
        <v>-0.37042000000000003</v>
      </c>
      <c r="D26" s="13">
        <v>0.25184000000000001</v>
      </c>
    </row>
    <row r="27" spans="1:10" x14ac:dyDescent="0.25">
      <c r="A27" s="13" t="s">
        <v>53</v>
      </c>
      <c r="B27" s="13">
        <v>-0.15756000000000001</v>
      </c>
      <c r="C27" s="13">
        <v>-0.46854000000000001</v>
      </c>
      <c r="D27" s="13">
        <v>0.15342</v>
      </c>
    </row>
    <row r="28" spans="1:10" x14ac:dyDescent="0.25">
      <c r="A28" s="13" t="s">
        <v>54</v>
      </c>
      <c r="B28" s="13">
        <v>0.17163999999999999</v>
      </c>
      <c r="C28" s="13">
        <v>-0.11945</v>
      </c>
      <c r="D28" s="13">
        <v>0.46272000000000002</v>
      </c>
    </row>
    <row r="29" spans="1:10" x14ac:dyDescent="0.25">
      <c r="A29" s="13" t="s">
        <v>55</v>
      </c>
      <c r="B29" s="13">
        <v>0.31868999999999997</v>
      </c>
      <c r="C29" s="13">
        <v>2.4199999999999999E-2</v>
      </c>
      <c r="D29" s="13">
        <v>0.61319000000000001</v>
      </c>
    </row>
    <row r="30" spans="1:10" x14ac:dyDescent="0.25">
      <c r="A30" s="13" t="s">
        <v>56</v>
      </c>
      <c r="B30" s="13">
        <v>1.9410799999999999</v>
      </c>
      <c r="C30" s="13">
        <v>1.6343399999999999</v>
      </c>
      <c r="D30" s="13">
        <v>2.2478099999999999</v>
      </c>
    </row>
    <row r="31" spans="1:10" x14ac:dyDescent="0.25">
      <c r="A31" s="13" t="s">
        <v>57</v>
      </c>
      <c r="B31" s="13">
        <v>1.39646</v>
      </c>
      <c r="C31" s="13">
        <v>0.96755999999999998</v>
      </c>
      <c r="D31" s="13">
        <v>1.8253699999999999</v>
      </c>
    </row>
  </sheetData>
  <mergeCells count="1">
    <mergeCell ref="F1:G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0D36-D24C-4E3E-B63B-8203DCA40CB7}">
  <dimension ref="A1:G7"/>
  <sheetViews>
    <sheetView workbookViewId="0">
      <selection activeCell="I21" sqref="I21"/>
    </sheetView>
  </sheetViews>
  <sheetFormatPr baseColWidth="10" defaultRowHeight="15" x14ac:dyDescent="0.25"/>
  <sheetData>
    <row r="1" spans="1:7" x14ac:dyDescent="0.25">
      <c r="A1" s="5" t="s">
        <v>23</v>
      </c>
      <c r="B1" s="5" t="s">
        <v>1</v>
      </c>
      <c r="C1" s="5" t="s">
        <v>2</v>
      </c>
      <c r="D1" s="5" t="s">
        <v>17</v>
      </c>
      <c r="E1" s="5" t="s">
        <v>4</v>
      </c>
      <c r="F1" s="5" t="s">
        <v>5</v>
      </c>
      <c r="G1" s="5" t="s">
        <v>6</v>
      </c>
    </row>
    <row r="2" spans="1:7" x14ac:dyDescent="0.25">
      <c r="A2" t="s">
        <v>24</v>
      </c>
      <c r="B2">
        <v>1.65019E-2</v>
      </c>
      <c r="C2">
        <v>4.7102999999999997E-3</v>
      </c>
      <c r="D2">
        <v>3.5</v>
      </c>
      <c r="E2">
        <v>0</v>
      </c>
      <c r="F2">
        <v>7.2699000000000001E-3</v>
      </c>
      <c r="G2">
        <v>2.5733900000000001E-2</v>
      </c>
    </row>
    <row r="3" spans="1:7" x14ac:dyDescent="0.25">
      <c r="A3" t="s">
        <v>25</v>
      </c>
      <c r="B3">
        <v>1.6256300000000001E-2</v>
      </c>
      <c r="C3">
        <v>5.3730000000000002E-3</v>
      </c>
      <c r="D3">
        <v>3.03</v>
      </c>
      <c r="E3">
        <v>2E-3</v>
      </c>
      <c r="F3">
        <v>5.7254000000000003E-3</v>
      </c>
      <c r="G3">
        <v>2.6787200000000001E-2</v>
      </c>
    </row>
    <row r="4" spans="1:7" x14ac:dyDescent="0.25">
      <c r="A4" t="s">
        <v>26</v>
      </c>
      <c r="B4">
        <v>1.6068300000000001E-2</v>
      </c>
      <c r="C4">
        <v>5.1847000000000004E-3</v>
      </c>
      <c r="D4">
        <v>3.1</v>
      </c>
      <c r="E4">
        <v>2E-3</v>
      </c>
      <c r="F4">
        <v>5.9062999999999997E-3</v>
      </c>
      <c r="G4">
        <v>2.6230199999999999E-2</v>
      </c>
    </row>
    <row r="5" spans="1:7" x14ac:dyDescent="0.25">
      <c r="A5" t="s">
        <v>27</v>
      </c>
      <c r="B5">
        <v>1.48602E-2</v>
      </c>
      <c r="C5">
        <v>4.6357999999999998E-3</v>
      </c>
      <c r="D5">
        <v>3.21</v>
      </c>
      <c r="E5">
        <v>1E-3</v>
      </c>
      <c r="F5">
        <v>5.7742000000000002E-3</v>
      </c>
      <c r="G5">
        <v>2.3946200000000001E-2</v>
      </c>
    </row>
    <row r="6" spans="1:7" x14ac:dyDescent="0.25">
      <c r="A6" t="s">
        <v>28</v>
      </c>
      <c r="B6">
        <v>1.5061E-2</v>
      </c>
      <c r="C6">
        <v>4.8976999999999996E-3</v>
      </c>
      <c r="D6">
        <v>3.08</v>
      </c>
      <c r="E6">
        <v>2E-3</v>
      </c>
      <c r="F6">
        <v>5.4616999999999999E-3</v>
      </c>
      <c r="G6">
        <v>2.46603E-2</v>
      </c>
    </row>
    <row r="7" spans="1:7" x14ac:dyDescent="0.25">
      <c r="A7" t="s">
        <v>29</v>
      </c>
      <c r="B7">
        <v>1.6233600000000001E-2</v>
      </c>
      <c r="C7">
        <v>4.9288999999999999E-3</v>
      </c>
      <c r="D7">
        <v>3.29</v>
      </c>
      <c r="E7">
        <v>1E-3</v>
      </c>
      <c r="F7">
        <v>6.5731000000000001E-3</v>
      </c>
      <c r="G7">
        <v>2.5894199999999999E-2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ontentconnect xmlns="http://schemas.opentext.com/novous/product_name">
  <product_name>d2</product_name>
</contentconnect>
</file>

<file path=customXml/item2.xml><?xml version="1.0" encoding="utf-8"?>
<contentconnect xmlns="http://schemas.opentext.com/novous/objectid">
  <objectid>0b012db486179831</objectid>
</contentconnect>
</file>

<file path=customXml/itemProps1.xml><?xml version="1.0" encoding="utf-8"?>
<ds:datastoreItem xmlns:ds="http://schemas.openxmlformats.org/officeDocument/2006/customXml" ds:itemID="{A38504B7-5B09-4F63-A48D-D1F2FE8A50CD}">
  <ds:schemaRefs>
    <ds:schemaRef ds:uri="http://schemas.opentext.com/novous/product_name"/>
  </ds:schemaRefs>
</ds:datastoreItem>
</file>

<file path=customXml/itemProps2.xml><?xml version="1.0" encoding="utf-8"?>
<ds:datastoreItem xmlns:ds="http://schemas.openxmlformats.org/officeDocument/2006/customXml" ds:itemID="{7302BE48-9B3F-4144-8053-9B0DB59EC5CB}">
  <ds:schemaRefs>
    <ds:schemaRef ds:uri="http://schemas.opentext.com/novous/object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2</vt:i4>
      </vt:variant>
    </vt:vector>
  </HeadingPairs>
  <TitlesOfParts>
    <vt:vector size="14" baseType="lpstr">
      <vt:lpstr>Gráfico 1</vt:lpstr>
      <vt:lpstr>Gráfico 2</vt:lpstr>
      <vt:lpstr>Cuadro 1</vt:lpstr>
      <vt:lpstr>Cuadro 2</vt:lpstr>
      <vt:lpstr>pretrends</vt:lpstr>
      <vt:lpstr>event_study</vt:lpstr>
      <vt:lpstr>event_study (%)</vt:lpstr>
      <vt:lpstr>results_CS</vt:lpstr>
      <vt:lpstr>results_CS (%)</vt:lpstr>
      <vt:lpstr>results_intangibles</vt:lpstr>
      <vt:lpstr>results_intangibles (2)</vt:lpstr>
      <vt:lpstr>estimadores_2x2</vt:lpstr>
      <vt:lpstr>'Cuadro 1'!Área_de_impresión</vt:lpstr>
      <vt:lpstr>'Cuadro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KAZARIAN AVAKIAN, LUCIA</dc:creator>
  <cp:lastModifiedBy>MARTIN LUCIO, GEMA (EXTERNO)</cp:lastModifiedBy>
  <cp:lastPrinted>2026-06-03T11:49:36Z</cp:lastPrinted>
  <dcterms:created xsi:type="dcterms:W3CDTF">2015-06-05T18:19:34Z</dcterms:created>
  <dcterms:modified xsi:type="dcterms:W3CDTF">2026-06-08T07:20:18Z</dcterms:modified>
</cp:coreProperties>
</file>